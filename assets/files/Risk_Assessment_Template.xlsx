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by.Kellersberger\Downloads\"/>
    </mc:Choice>
  </mc:AlternateContent>
  <xr:revisionPtr revIDLastSave="0" documentId="13_ncr:1_{D5044CE0-489E-4777-83B3-70FDE7429852}" xr6:coauthVersionLast="47" xr6:coauthVersionMax="47" xr10:uidLastSave="{00000000-0000-0000-0000-000000000000}"/>
  <bookViews>
    <workbookView xWindow="15156" yWindow="2064" windowWidth="29064" windowHeight="21948" xr2:uid="{C2087629-0EDA-46AC-AED4-A2841B02CC28}"/>
  </bookViews>
  <sheets>
    <sheet name="Template" sheetId="1" r:id="rId1"/>
  </sheets>
  <calcPr calcId="191029" concurrentCalc="0" concurrentManualCount="2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4" i="1" l="1"/>
  <c r="T24" i="1"/>
  <c r="S24" i="1"/>
  <c r="R24" i="1"/>
  <c r="Q24" i="1"/>
  <c r="U23" i="1"/>
  <c r="T23" i="1"/>
  <c r="S23" i="1"/>
  <c r="R23" i="1"/>
  <c r="Q23" i="1"/>
  <c r="U22" i="1"/>
  <c r="T22" i="1"/>
  <c r="S22" i="1"/>
  <c r="R22" i="1"/>
  <c r="Q22" i="1"/>
  <c r="U21" i="1"/>
  <c r="T21" i="1"/>
  <c r="S21" i="1"/>
  <c r="R21" i="1"/>
  <c r="Q21" i="1"/>
  <c r="U20" i="1"/>
  <c r="T20" i="1"/>
  <c r="S20" i="1"/>
  <c r="R20" i="1"/>
  <c r="Q20" i="1"/>
  <c r="P24" i="1"/>
  <c r="P23" i="1"/>
  <c r="P22" i="1"/>
  <c r="P21" i="1"/>
  <c r="P20" i="1"/>
  <c r="U19" i="1"/>
  <c r="T19" i="1"/>
  <c r="S19" i="1"/>
  <c r="R19" i="1"/>
  <c r="Q19" i="1"/>
  <c r="U17" i="1"/>
  <c r="T17" i="1"/>
  <c r="S17" i="1"/>
  <c r="R17" i="1"/>
  <c r="Q17" i="1"/>
  <c r="U16" i="1"/>
  <c r="T16" i="1"/>
  <c r="S16" i="1"/>
  <c r="R16" i="1"/>
  <c r="Q16" i="1"/>
  <c r="U15" i="1"/>
  <c r="T15" i="1"/>
  <c r="S15" i="1"/>
  <c r="R15" i="1"/>
  <c r="Q15" i="1"/>
  <c r="U14" i="1"/>
  <c r="T14" i="1"/>
  <c r="S14" i="1"/>
  <c r="R14" i="1"/>
  <c r="Q14" i="1"/>
  <c r="U13" i="1"/>
  <c r="T13" i="1"/>
  <c r="S13" i="1"/>
  <c r="R13" i="1"/>
  <c r="Q13" i="1"/>
  <c r="P17" i="1"/>
  <c r="P16" i="1"/>
  <c r="P15" i="1"/>
  <c r="P14" i="1"/>
  <c r="P13" i="1"/>
  <c r="U12" i="1"/>
  <c r="T12" i="1"/>
  <c r="S12" i="1"/>
  <c r="R12" i="1"/>
  <c r="Q12" i="1"/>
  <c r="P10" i="1"/>
  <c r="P9" i="1"/>
  <c r="P8" i="1"/>
  <c r="P7" i="1"/>
  <c r="P6" i="1"/>
  <c r="U5" i="1"/>
  <c r="T5" i="1"/>
  <c r="H13" i="1" a="1"/>
  <c r="H13" i="1"/>
  <c r="S5" i="1"/>
  <c r="R5" i="1"/>
  <c r="Q5" i="1"/>
  <c r="H29" i="1" a="1"/>
  <c r="H29" i="1"/>
  <c r="M20" i="1" a="1"/>
  <c r="M20" i="1"/>
  <c r="M21" i="1" a="1"/>
  <c r="M21" i="1"/>
  <c r="H25" i="1" a="1"/>
  <c r="H25" i="1"/>
  <c r="H9" i="1" a="1"/>
  <c r="H9" i="1"/>
  <c r="M15" i="1" a="1"/>
  <c r="M15" i="1"/>
  <c r="H24" i="1" a="1"/>
  <c r="H24" i="1"/>
  <c r="H8" i="1" a="1"/>
  <c r="H8" i="1"/>
  <c r="H7" i="1" a="1"/>
  <c r="H7" i="1"/>
  <c r="M28" i="1" a="1"/>
  <c r="M28" i="1"/>
  <c r="M9" i="1" a="1"/>
  <c r="M9" i="1"/>
  <c r="H19" i="1" a="1"/>
  <c r="H19" i="1"/>
  <c r="M14" i="1" a="1"/>
  <c r="M14" i="1"/>
  <c r="H18" i="1" a="1"/>
  <c r="H18" i="1"/>
  <c r="M27" i="1" a="1"/>
  <c r="M27" i="1"/>
  <c r="M8" i="1" a="1"/>
  <c r="M8" i="1"/>
  <c r="M7" i="1" a="1"/>
  <c r="M7" i="1"/>
  <c r="H30" i="1" a="1"/>
  <c r="H30" i="1"/>
  <c r="H14" i="1" a="1"/>
  <c r="H14" i="1"/>
  <c r="M22" i="1" a="1"/>
  <c r="M22" i="1"/>
  <c r="M10" i="1" a="1"/>
  <c r="M10" i="1"/>
  <c r="H12" i="1" a="1"/>
  <c r="H12" i="1"/>
  <c r="M6" i="1" a="1"/>
  <c r="M6" i="1"/>
  <c r="M26" i="1" a="1"/>
  <c r="M26" i="1"/>
  <c r="M13" i="1" a="1"/>
  <c r="M13" i="1"/>
  <c r="H28" i="1" a="1"/>
  <c r="H28" i="1"/>
  <c r="H22" i="1" a="1"/>
  <c r="H22" i="1"/>
  <c r="H17" i="1" a="1"/>
  <c r="H17" i="1"/>
  <c r="H11" i="1" a="1"/>
  <c r="H11" i="1"/>
  <c r="M31" i="1" a="1"/>
  <c r="M31" i="1"/>
  <c r="M25" i="1" a="1"/>
  <c r="M25" i="1"/>
  <c r="M12" i="1" a="1"/>
  <c r="M12" i="1"/>
  <c r="H27" i="1" a="1"/>
  <c r="H27" i="1"/>
  <c r="H16" i="1" a="1"/>
  <c r="H16" i="1"/>
  <c r="M24" i="1" a="1"/>
  <c r="M24" i="1"/>
  <c r="M18" i="1" a="1"/>
  <c r="M18" i="1"/>
  <c r="M11" i="1" a="1"/>
  <c r="M11" i="1"/>
  <c r="H23" i="1" a="1"/>
  <c r="H23" i="1"/>
  <c r="M19" i="1" a="1"/>
  <c r="M19" i="1"/>
  <c r="H6" i="1" a="1"/>
  <c r="H6" i="1"/>
  <c r="H21" i="1" a="1"/>
  <c r="H21" i="1"/>
  <c r="H15" i="1" a="1"/>
  <c r="H15" i="1"/>
  <c r="H10" i="1" a="1"/>
  <c r="H10" i="1"/>
  <c r="M30" i="1" a="1"/>
  <c r="M30" i="1"/>
  <c r="M23" i="1" a="1"/>
  <c r="M23" i="1"/>
  <c r="M17" i="1" a="1"/>
  <c r="M17" i="1"/>
  <c r="H31" i="1" a="1"/>
  <c r="H31" i="1"/>
  <c r="H26" i="1" a="1"/>
  <c r="H26" i="1"/>
  <c r="H20" i="1" a="1"/>
  <c r="H20" i="1"/>
  <c r="M29" i="1" a="1"/>
  <c r="M29" i="1"/>
  <c r="M16" i="1" a="1"/>
  <c r="M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<sst xmlns="http://schemas.openxmlformats.org/spreadsheetml/2006/main" count="100" uniqueCount="35">
  <si>
    <t>Risk Assessment</t>
  </si>
  <si>
    <t>Area Name:</t>
  </si>
  <si>
    <t>Updated By:</t>
  </si>
  <si>
    <t>Date Last Updated:</t>
  </si>
  <si>
    <t>Project or area</t>
  </si>
  <si>
    <t>Unique ID</t>
  </si>
  <si>
    <t>Risk Description</t>
  </si>
  <si>
    <t>Caused by &amp; Consequences</t>
  </si>
  <si>
    <t>Risk Owners</t>
  </si>
  <si>
    <t>Probability</t>
  </si>
  <si>
    <t>Impact</t>
  </si>
  <si>
    <t>Risk Rating</t>
  </si>
  <si>
    <t>Control (s)</t>
  </si>
  <si>
    <t>Control Owner (s) Name and Role</t>
  </si>
  <si>
    <t>Inherent Risk
(without controls)</t>
  </si>
  <si>
    <t>Residual Risk
(with controls)</t>
  </si>
  <si>
    <t>Residual Impact</t>
  </si>
  <si>
    <t>Residual Risk Rating</t>
  </si>
  <si>
    <t>Residual Probability</t>
  </si>
  <si>
    <t>Very High</t>
  </si>
  <si>
    <t>High</t>
  </si>
  <si>
    <t>Medium</t>
  </si>
  <si>
    <t>Low</t>
  </si>
  <si>
    <t>Very Low</t>
  </si>
  <si>
    <t>Risk Matrix</t>
  </si>
  <si>
    <t>Moderate</t>
  </si>
  <si>
    <t>Severe</t>
  </si>
  <si>
    <t>Critical</t>
  </si>
  <si>
    <t>Sustainable</t>
  </si>
  <si>
    <t>Master Risk Matrix</t>
  </si>
  <si>
    <t>-   Probability   +</t>
  </si>
  <si>
    <t>-  Impact  +</t>
  </si>
  <si>
    <t>Inherent Risk Matrix (before Controls)</t>
  </si>
  <si>
    <t>Residual Risk Matrix (after Controls)</t>
  </si>
  <si>
    <t>Caused by:
Consequence: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</si>
</sst>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theme="0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2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6699FF"/>
        <bgColor indexed="64"/>
      </patternFill>
    </fill>
    <fill>
      <patternFill patternType="solid">
        <fgColor rgb="FFCC0000"/>
        <bgColor indexed="64"/>
      </patternFill>
    </fill>
  </fills>
  <borders count="3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7" borderId="0" applyNumberFormat="0" applyBorder="0" applyAlignment="0" applyProtection="0"/>
  </cellStyleXfs>
  <cellXfs count="77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6" fillId="7" borderId="28" xfId="1" applyBorder="1" applyAlignment="1">
      <alignment horizontal="center" vertical="center" wrapText="1"/>
    </xf>
    <xf numFmtId="0" fontId="6" fillId="7" borderId="29" xfId="1" applyBorder="1" applyAlignment="1">
      <alignment horizontal="center" vertical="center" wrapText="1"/>
    </xf>
    <xf numFmtId="0" fontId="6" fillId="7" borderId="14" xfId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14" fontId="4" fillId="3" borderId="0" xfId="0" applyNumberFormat="1" applyFont="1" applyFill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9" borderId="15" xfId="0" applyFont="1" applyFill="1" applyBorder="1" applyAlignment="1">
      <alignment horizontal="center" vertical="center"/>
    </xf>
    <xf numFmtId="0" fontId="9" fillId="9" borderId="16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9" borderId="17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10" fillId="9" borderId="15" xfId="0" applyFont="1" applyFill="1" applyBorder="1" applyAlignment="1">
      <alignment horizontal="center" vertical="center"/>
    </xf>
    <xf numFmtId="0" fontId="10" fillId="9" borderId="16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9" borderId="17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11" fillId="0" borderId="26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26" xfId="0" applyFont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/>
    </xf>
    <xf numFmtId="49" fontId="5" fillId="0" borderId="13" xfId="0" applyNumberFormat="1" applyFont="1" applyBorder="1" applyAlignment="1">
      <alignment horizontal="center" vertical="center"/>
    </xf>
    <xf numFmtId="49" fontId="5" fillId="0" borderId="30" xfId="0" applyNumberFormat="1" applyFont="1" applyBorder="1" applyAlignment="1">
      <alignment horizontal="center" vertical="center"/>
    </xf>
    <xf numFmtId="49" fontId="5" fillId="0" borderId="34" xfId="0" applyNumberFormat="1" applyFont="1" applyBorder="1" applyAlignment="1">
      <alignment horizontal="center" vertical="center" textRotation="90"/>
    </xf>
    <xf numFmtId="49" fontId="5" fillId="0" borderId="35" xfId="0" applyNumberFormat="1" applyFont="1" applyBorder="1" applyAlignment="1">
      <alignment horizontal="center" vertical="center" textRotation="90"/>
    </xf>
    <xf numFmtId="49" fontId="5" fillId="0" borderId="36" xfId="0" applyNumberFormat="1" applyFont="1" applyBorder="1" applyAlignment="1">
      <alignment horizontal="center" vertical="center" textRotation="90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6" fillId="7" borderId="0" xfId="1" applyAlignment="1">
      <alignment horizontal="center" vertical="center" wrapText="1"/>
    </xf>
    <xf numFmtId="0" fontId="6" fillId="7" borderId="0" xfId="1" applyAlignment="1">
      <alignment horizontal="center" vertical="center"/>
    </xf>
  </cellXfs>
  <cellStyles count="2">
    <cellStyle name="40% - Accent3" xfId="1" builtinId="39"/>
    <cellStyle name="Normal" xfId="0" builtinId="0"/>
  </cellStyles>
  <dxfs count="8">
    <dxf>
      <font>
        <b/>
        <i val="0"/>
      </font>
      <fill>
        <patternFill>
          <bgColor rgb="FF8ED973"/>
        </patternFill>
      </fill>
    </dxf>
    <dxf>
      <font>
        <b/>
        <i val="0"/>
        <color theme="2"/>
      </font>
      <fill>
        <patternFill>
          <bgColor rgb="FFCC0000"/>
        </patternFill>
      </fill>
    </dxf>
    <dxf>
      <font>
        <b/>
        <i val="0"/>
      </font>
      <fill>
        <patternFill>
          <bgColor rgb="FFFFFF66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FF66"/>
        </patternFill>
      </fill>
    </dxf>
    <dxf>
      <font>
        <b/>
        <i val="0"/>
      </font>
      <fill>
        <patternFill>
          <bgColor rgb="FF8ED973"/>
        </patternFill>
      </fill>
    </dxf>
    <dxf>
      <font>
        <b/>
        <i val="0"/>
        <color theme="2"/>
      </font>
      <fill>
        <patternFill>
          <bgColor rgb="FFCC0000"/>
        </patternFill>
      </fill>
    </dxf>
  </dxfs>
  <tableStyles count="0" defaultTableStyle="TableStyleMedium2" defaultPivotStyle="PivotStyleLight16"/>
  <colors>
    <mruColors>
      <color rgb="FFCC0000"/>
      <color rgb="FF6699FF"/>
      <color rgb="FF66CCFF"/>
      <color rgb="FFFFFF66"/>
      <color rgb="FF8ED973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DE253-9743-4A1A-BB9D-2C6D91E51B62}">
  <dimension ref="B1:X31"/>
  <sheetViews>
    <sheetView showGridLines="0" tabSelected="1" workbookViewId="0">
      <selection activeCell="P4" sqref="P4"/>
    </sheetView>
  </sheetViews>
  <sheetFormatPr defaultRowHeight="14.4" x14ac:dyDescent="0.3"/>
  <cols>
    <col min="1" max="1" width="2.109375" customWidth="1"/>
    <col min="2" max="2" width="11.109375" customWidth="1"/>
    <col min="3" max="3" width="25.5546875" customWidth="1"/>
    <col min="4" max="4" width="29.88671875" customWidth="1"/>
    <col min="5" max="5" width="18.33203125" customWidth="1"/>
    <col min="6" max="6" width="10.5546875" customWidth="1"/>
    <col min="7" max="7" width="10.88671875" customWidth="1"/>
    <col min="8" max="8" width="12.88671875" customWidth="1"/>
    <col min="9" max="9" width="25.44140625" customWidth="1"/>
    <col min="10" max="10" width="23.33203125" customWidth="1"/>
    <col min="11" max="11" width="10.88671875" customWidth="1"/>
    <col min="12" max="12" width="10" customWidth="1"/>
    <col min="13" max="13" width="12.33203125" customWidth="1"/>
    <col min="14" max="14" width="4.33203125" customWidth="1"/>
    <col min="16" max="16" width="10.6640625" customWidth="1"/>
    <col min="17" max="17" width="12.44140625" customWidth="1"/>
    <col min="18" max="18" width="12.109375" customWidth="1"/>
    <col min="19" max="19" width="11.109375" customWidth="1"/>
    <col min="20" max="20" width="10.88671875" customWidth="1"/>
    <col min="21" max="21" width="11.88671875" customWidth="1"/>
    <col min="22" max="22" width="3.88671875" customWidth="1"/>
    <col min="23" max="23" width="11.5546875" customWidth="1"/>
    <col min="24" max="24" width="10.33203125" customWidth="1"/>
  </cols>
  <sheetData>
    <row r="1" spans="2:24" ht="26.4" thickBot="1" x14ac:dyDescent="0.55000000000000004">
      <c r="B1" s="73" t="s">
        <v>0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2:24" ht="35.1" customHeight="1" x14ac:dyDescent="0.35">
      <c r="B2" s="1"/>
      <c r="C2" s="2" t="s">
        <v>1</v>
      </c>
      <c r="D2" s="23" t="s">
        <v>4</v>
      </c>
      <c r="E2" s="2" t="s">
        <v>2</v>
      </c>
      <c r="F2" s="74"/>
      <c r="G2" s="74"/>
      <c r="H2" s="74"/>
      <c r="I2" s="2" t="s">
        <v>3</v>
      </c>
      <c r="J2" s="24">
        <v>45756</v>
      </c>
      <c r="K2" s="1"/>
      <c r="L2" s="1"/>
      <c r="M2" s="1"/>
      <c r="O2" s="36" t="s">
        <v>24</v>
      </c>
      <c r="W2" s="3" t="s">
        <v>9</v>
      </c>
      <c r="X2" s="4" t="s">
        <v>10</v>
      </c>
    </row>
    <row r="3" spans="2:24" ht="35.1" customHeight="1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O3" s="37" t="s">
        <v>29</v>
      </c>
      <c r="W3" s="32" t="s">
        <v>19</v>
      </c>
      <c r="X3" s="33" t="s">
        <v>19</v>
      </c>
    </row>
    <row r="4" spans="2:24" ht="33" customHeight="1" thickBot="1" x14ac:dyDescent="0.35">
      <c r="B4" s="1"/>
      <c r="C4" s="1"/>
      <c r="D4" s="1"/>
      <c r="E4" s="1"/>
      <c r="F4" s="75" t="s">
        <v>14</v>
      </c>
      <c r="G4" s="76"/>
      <c r="H4" s="76"/>
      <c r="I4" s="1"/>
      <c r="J4" s="1"/>
      <c r="K4" s="75" t="s">
        <v>15</v>
      </c>
      <c r="L4" s="76"/>
      <c r="M4" s="76"/>
      <c r="W4" s="32" t="s">
        <v>20</v>
      </c>
      <c r="X4" s="33" t="s">
        <v>20</v>
      </c>
    </row>
    <row r="5" spans="2:24" ht="35.1" customHeight="1" thickBot="1" x14ac:dyDescent="0.35">
      <c r="B5" s="20" t="s">
        <v>5</v>
      </c>
      <c r="C5" s="21" t="s">
        <v>6</v>
      </c>
      <c r="D5" s="21" t="s">
        <v>7</v>
      </c>
      <c r="E5" s="21" t="s">
        <v>8</v>
      </c>
      <c r="F5" s="21" t="s">
        <v>9</v>
      </c>
      <c r="G5" s="21" t="s">
        <v>10</v>
      </c>
      <c r="H5" s="21" t="s">
        <v>11</v>
      </c>
      <c r="I5" s="21" t="s">
        <v>12</v>
      </c>
      <c r="J5" s="21" t="s">
        <v>13</v>
      </c>
      <c r="K5" s="21" t="s">
        <v>18</v>
      </c>
      <c r="L5" s="21" t="s">
        <v>16</v>
      </c>
      <c r="M5" s="22" t="s">
        <v>17</v>
      </c>
      <c r="O5" s="68" t="s">
        <v>31</v>
      </c>
      <c r="P5" s="69"/>
      <c r="Q5" s="5" t="str">
        <f>X$7</f>
        <v>Very Low</v>
      </c>
      <c r="R5" s="6" t="str">
        <f>X$6</f>
        <v>Low</v>
      </c>
      <c r="S5" s="30" t="str">
        <f>X$5</f>
        <v>Medium</v>
      </c>
      <c r="T5" s="6" t="str">
        <f>X$4</f>
        <v>High</v>
      </c>
      <c r="U5" s="31" t="str">
        <f>X$3</f>
        <v>Very High</v>
      </c>
      <c r="W5" s="32" t="s">
        <v>21</v>
      </c>
      <c r="X5" s="33" t="s">
        <v>21</v>
      </c>
    </row>
    <row r="6" spans="2:24" ht="50.1" customHeight="1" x14ac:dyDescent="0.3">
      <c r="B6" s="59"/>
      <c r="C6" s="60"/>
      <c r="D6" s="65" t="s">
        <v>34</v>
      </c>
      <c r="E6" s="60"/>
      <c r="F6" s="19" t="s">
        <v>20</v>
      </c>
      <c r="G6" s="19" t="s">
        <v>20</v>
      </c>
      <c r="H6" s="19" t="str" cm="1">
        <f t="array" ref="H6">IFERROR(_xlfn.XLOOKUP(F6, P$6:P$10, _xlfn.XLOOKUP(G6, Q$5:U$5, Q$6:U$10)),"")</f>
        <v>Critical</v>
      </c>
      <c r="I6" s="56"/>
      <c r="J6" s="56"/>
      <c r="K6" s="19" t="s">
        <v>21</v>
      </c>
      <c r="L6" s="19" t="s">
        <v>23</v>
      </c>
      <c r="M6" s="25" t="str" cm="1">
        <f t="array" ref="M6">IFERROR(_xlfn.XLOOKUP(K6, P$6:P$10, _xlfn.XLOOKUP(L6, Q$5:U$5, Q$6:U$10)),"")</f>
        <v>Sustainable</v>
      </c>
      <c r="O6" s="70" t="s">
        <v>30</v>
      </c>
      <c r="P6" s="27" t="str">
        <f>W$3</f>
        <v>Very High</v>
      </c>
      <c r="Q6" s="10" t="s">
        <v>25</v>
      </c>
      <c r="R6" s="7" t="s">
        <v>26</v>
      </c>
      <c r="S6" s="7" t="s">
        <v>26</v>
      </c>
      <c r="T6" s="38" t="s">
        <v>27</v>
      </c>
      <c r="U6" s="39" t="s">
        <v>27</v>
      </c>
      <c r="W6" s="32" t="s">
        <v>22</v>
      </c>
      <c r="X6" s="33" t="s">
        <v>22</v>
      </c>
    </row>
    <row r="7" spans="2:24" ht="50.1" customHeight="1" thickBot="1" x14ac:dyDescent="0.35">
      <c r="B7" s="61"/>
      <c r="C7" s="62"/>
      <c r="D7" s="65" t="s">
        <v>34</v>
      </c>
      <c r="E7" s="62"/>
      <c r="F7" s="17" t="s">
        <v>21</v>
      </c>
      <c r="G7" s="17" t="s">
        <v>22</v>
      </c>
      <c r="H7" s="19" t="str" cm="1">
        <f t="array" ref="H7">IFERROR(_xlfn.XLOOKUP(F7, P$6:P$10, _xlfn.XLOOKUP(G7, Q$5:U$5, Q$6:U$10)),"")</f>
        <v>Moderate</v>
      </c>
      <c r="I7" s="57"/>
      <c r="J7" s="57"/>
      <c r="K7" s="17" t="s">
        <v>20</v>
      </c>
      <c r="L7" s="17" t="s">
        <v>22</v>
      </c>
      <c r="M7" s="25" t="str" cm="1">
        <f t="array" ref="M7">IFERROR(_xlfn.XLOOKUP(K7, P$6:P$10, _xlfn.XLOOKUP(L7, Q$5:U$5, Q$6:U$10)),"")</f>
        <v>Moderate</v>
      </c>
      <c r="O7" s="71"/>
      <c r="P7" s="28" t="str">
        <f>W$4</f>
        <v>High</v>
      </c>
      <c r="Q7" s="13" t="s">
        <v>28</v>
      </c>
      <c r="R7" s="11" t="s">
        <v>25</v>
      </c>
      <c r="S7" s="8" t="s">
        <v>26</v>
      </c>
      <c r="T7" s="40" t="s">
        <v>27</v>
      </c>
      <c r="U7" s="41" t="s">
        <v>27</v>
      </c>
      <c r="W7" s="34" t="s">
        <v>23</v>
      </c>
      <c r="X7" s="35" t="s">
        <v>23</v>
      </c>
    </row>
    <row r="8" spans="2:24" ht="50.1" customHeight="1" x14ac:dyDescent="0.3">
      <c r="B8" s="61"/>
      <c r="C8" s="62"/>
      <c r="D8" s="65" t="s">
        <v>34</v>
      </c>
      <c r="E8" s="62"/>
      <c r="F8" s="17"/>
      <c r="G8" s="17"/>
      <c r="H8" s="19" t="str" cm="1">
        <f t="array" ref="H8">IFERROR(_xlfn.XLOOKUP(F8, P$6:P$10, _xlfn.XLOOKUP(G8, Q$5:U$5, Q$6:U$10)),"")</f>
        <v/>
      </c>
      <c r="I8" s="57"/>
      <c r="J8" s="57"/>
      <c r="K8" s="17"/>
      <c r="L8" s="17"/>
      <c r="M8" s="25" t="str" cm="1">
        <f t="array" ref="M8">IFERROR(_xlfn.XLOOKUP(K8, P$6:P$10, _xlfn.XLOOKUP(L8, Q$5:U$5, Q$6:U$10)),"")</f>
        <v/>
      </c>
      <c r="O8" s="71"/>
      <c r="P8" s="28" t="str">
        <f>W$5</f>
        <v>Medium</v>
      </c>
      <c r="Q8" s="13" t="s">
        <v>28</v>
      </c>
      <c r="R8" s="11" t="s">
        <v>25</v>
      </c>
      <c r="S8" s="11" t="s">
        <v>25</v>
      </c>
      <c r="T8" s="8" t="s">
        <v>26</v>
      </c>
      <c r="U8" s="41" t="s">
        <v>27</v>
      </c>
    </row>
    <row r="9" spans="2:24" ht="50.1" customHeight="1" x14ac:dyDescent="0.3">
      <c r="B9" s="61"/>
      <c r="C9" s="62"/>
      <c r="D9" s="65" t="s">
        <v>34</v>
      </c>
      <c r="E9" s="62"/>
      <c r="F9" s="17"/>
      <c r="G9" s="17"/>
      <c r="H9" s="19" t="str" cm="1">
        <f t="array" ref="H9">IFERROR(_xlfn.XLOOKUP(F9, P$6:P$10, _xlfn.XLOOKUP(G9, Q$5:U$5, Q$6:U$10)),"")</f>
        <v/>
      </c>
      <c r="I9" s="57"/>
      <c r="J9" s="57"/>
      <c r="K9" s="17"/>
      <c r="L9" s="17"/>
      <c r="M9" s="25" t="str" cm="1">
        <f t="array" ref="M9">IFERROR(_xlfn.XLOOKUP(K9, P$6:P$10, _xlfn.XLOOKUP(L9, Q$5:U$5, Q$6:U$10)),"")</f>
        <v/>
      </c>
      <c r="O9" s="71"/>
      <c r="P9" s="28" t="str">
        <f>W$6</f>
        <v>Low</v>
      </c>
      <c r="Q9" s="13" t="s">
        <v>28</v>
      </c>
      <c r="R9" s="14" t="s">
        <v>28</v>
      </c>
      <c r="S9" s="11" t="s">
        <v>25</v>
      </c>
      <c r="T9" s="8" t="s">
        <v>26</v>
      </c>
      <c r="U9" s="41" t="s">
        <v>27</v>
      </c>
    </row>
    <row r="10" spans="2:24" ht="50.1" customHeight="1" thickBot="1" x14ac:dyDescent="0.35">
      <c r="B10" s="61"/>
      <c r="C10" s="62"/>
      <c r="D10" s="65" t="s">
        <v>34</v>
      </c>
      <c r="E10" s="62"/>
      <c r="F10" s="17"/>
      <c r="G10" s="17"/>
      <c r="H10" s="19" t="str" cm="1">
        <f t="array" ref="H10">IFERROR(_xlfn.XLOOKUP(F10, P$6:P$10, _xlfn.XLOOKUP(G10, Q$5:U$5, Q$6:U$10)),"")</f>
        <v/>
      </c>
      <c r="I10" s="57"/>
      <c r="J10" s="57"/>
      <c r="K10" s="17"/>
      <c r="L10" s="17"/>
      <c r="M10" s="25" t="str" cm="1">
        <f t="array" ref="M10">IFERROR(_xlfn.XLOOKUP(K10, P$6:P$10, _xlfn.XLOOKUP(L10, Q$5:U$5, Q$6:U$10)),"")</f>
        <v/>
      </c>
      <c r="O10" s="72"/>
      <c r="P10" s="29" t="str">
        <f>W$7</f>
        <v>Very Low</v>
      </c>
      <c r="Q10" s="15" t="s">
        <v>28</v>
      </c>
      <c r="R10" s="16" t="s">
        <v>28</v>
      </c>
      <c r="S10" s="16" t="s">
        <v>28</v>
      </c>
      <c r="T10" s="12" t="s">
        <v>25</v>
      </c>
      <c r="U10" s="9" t="s">
        <v>26</v>
      </c>
    </row>
    <row r="11" spans="2:24" ht="50.1" customHeight="1" thickBot="1" x14ac:dyDescent="0.4">
      <c r="B11" s="61"/>
      <c r="C11" s="62"/>
      <c r="D11" s="65" t="s">
        <v>34</v>
      </c>
      <c r="E11" s="62"/>
      <c r="F11" s="17"/>
      <c r="G11" s="17"/>
      <c r="H11" s="19" t="str" cm="1">
        <f t="array" ref="H11">IFERROR(_xlfn.XLOOKUP(F11, P$6:P$10, _xlfn.XLOOKUP(G11, Q$5:U$5, Q$6:U$10)),"")</f>
        <v/>
      </c>
      <c r="I11" s="57"/>
      <c r="J11" s="57"/>
      <c r="K11" s="17"/>
      <c r="L11" s="17"/>
      <c r="M11" s="25" t="str" cm="1">
        <f t="array" ref="M11">IFERROR(_xlfn.XLOOKUP(K11, P$6:P$10, _xlfn.XLOOKUP(L11, Q$5:U$5, Q$6:U$10)),"")</f>
        <v/>
      </c>
      <c r="O11" s="67" t="s">
        <v>32</v>
      </c>
      <c r="P11" s="67"/>
      <c r="Q11" s="67"/>
      <c r="R11" s="67"/>
    </row>
    <row r="12" spans="2:24" ht="50.1" customHeight="1" thickBot="1" x14ac:dyDescent="0.35">
      <c r="B12" s="61"/>
      <c r="C12" s="62"/>
      <c r="D12" s="65" t="s">
        <v>34</v>
      </c>
      <c r="E12" s="62"/>
      <c r="F12" s="17"/>
      <c r="G12" s="17"/>
      <c r="H12" s="19" t="str" cm="1">
        <f t="array" ref="H12">IFERROR(_xlfn.XLOOKUP(F12, P$6:P$10, _xlfn.XLOOKUP(G12, Q$5:U$5, Q$6:U$10)),"")</f>
        <v/>
      </c>
      <c r="I12" s="57"/>
      <c r="J12" s="57"/>
      <c r="K12" s="17"/>
      <c r="L12" s="17"/>
      <c r="M12" s="25" t="str" cm="1">
        <f t="array" ref="M12">IFERROR(_xlfn.XLOOKUP(K12, P$6:P$10, _xlfn.XLOOKUP(L12, Q$5:U$5, Q$6:U$10)),"")</f>
        <v/>
      </c>
      <c r="O12" s="68" t="s">
        <v>31</v>
      </c>
      <c r="P12" s="69"/>
      <c r="Q12" s="5" t="str">
        <f>X$7</f>
        <v>Very Low</v>
      </c>
      <c r="R12" s="6" t="str">
        <f>X$6</f>
        <v>Low</v>
      </c>
      <c r="S12" s="30" t="str">
        <f>X$5</f>
        <v>Medium</v>
      </c>
      <c r="T12" s="6" t="str">
        <f>X$4</f>
        <v>High</v>
      </c>
      <c r="U12" s="31" t="str">
        <f>X$3</f>
        <v>Very High</v>
      </c>
    </row>
    <row r="13" spans="2:24" ht="50.1" customHeight="1" x14ac:dyDescent="0.3">
      <c r="B13" s="61"/>
      <c r="C13" s="62"/>
      <c r="D13" s="65" t="s">
        <v>34</v>
      </c>
      <c r="E13" s="62"/>
      <c r="F13" s="17"/>
      <c r="G13" s="17"/>
      <c r="H13" s="19" t="str" cm="1">
        <f t="array" ref="H13">IFERROR(_xlfn.XLOOKUP(F13, P$6:P$10, _xlfn.XLOOKUP(G13, Q$5:U$5, Q$6:U$10)),"")</f>
        <v/>
      </c>
      <c r="I13" s="57"/>
      <c r="J13" s="57"/>
      <c r="K13" s="17"/>
      <c r="L13" s="17"/>
      <c r="M13" s="25" t="str" cm="1">
        <f t="array" ref="M13">IFERROR(_xlfn.XLOOKUP(K13, P$6:P$10, _xlfn.XLOOKUP(L13, Q$5:U$5, Q$6:U$10)),"")</f>
        <v/>
      </c>
      <c r="O13" s="70" t="s">
        <v>30</v>
      </c>
      <c r="P13" s="27" t="str">
        <f>W$3</f>
        <v>Very High</v>
      </c>
      <c r="Q13" s="42" t="str">
        <f>IF(COUNTIFS($F$6:$F$31, $W3, $G$6:$G$31, $X$7)=0, "",COUNTIFS($F$6:$F$31, $W3, $G$6:$G$31, $X$7))</f>
        <v/>
      </c>
      <c r="R13" s="43" t="str">
        <f>IF(COUNTIFS($F$6:$F$31, $W3, $G$6:$G$31, $X$6)=0, "",COUNTIFS($F$6:$F$31, $W3, $G$6:$G$31, $X$6))</f>
        <v/>
      </c>
      <c r="S13" s="43" t="str">
        <f>IF(COUNTIFS($F$6:$F$31, $W3, $G$6:$G$31, $X$5)=0, "",COUNTIFS($F$6:$F$31, $W3, $G$6:$G$31, $X$5))</f>
        <v/>
      </c>
      <c r="T13" s="44" t="str">
        <f>IF(COUNTIFS($F$6:$F$31, $W3, $G$6:$G$31, $X$4)=0, "",COUNTIFS($F$6:$F$31, $W3, $G$6:$G$31, $X$4))</f>
        <v/>
      </c>
      <c r="U13" s="45" t="str">
        <f>IF(COUNTIFS($F$6:$F$31, $W3, $G$6:$G$31, $X$3)=0, "",COUNTIFS($F$6:$F$31, $W3, $G$6:$G$31, $X$3))</f>
        <v/>
      </c>
    </row>
    <row r="14" spans="2:24" ht="50.1" customHeight="1" x14ac:dyDescent="0.3">
      <c r="B14" s="61"/>
      <c r="C14" s="62"/>
      <c r="D14" s="65" t="s">
        <v>34</v>
      </c>
      <c r="E14" s="62"/>
      <c r="F14" s="17"/>
      <c r="G14" s="17"/>
      <c r="H14" s="19" t="str" cm="1">
        <f t="array" ref="H14">IFERROR(_xlfn.XLOOKUP(F14, P$6:P$10, _xlfn.XLOOKUP(G14, Q$5:U$5, Q$6:U$10)),"")</f>
        <v/>
      </c>
      <c r="I14" s="57"/>
      <c r="J14" s="57"/>
      <c r="K14" s="17"/>
      <c r="L14" s="17"/>
      <c r="M14" s="25" t="str" cm="1">
        <f t="array" ref="M14">IFERROR(_xlfn.XLOOKUP(K14, P$6:P$10, _xlfn.XLOOKUP(L14, Q$5:U$5, Q$6:U$10)),"")</f>
        <v/>
      </c>
      <c r="O14" s="71"/>
      <c r="P14" s="28" t="str">
        <f>W$4</f>
        <v>High</v>
      </c>
      <c r="Q14" s="46" t="str">
        <f t="shared" ref="Q14:Q17" si="0">IF(COUNTIFS($F$6:$F$31, $W4, $G$6:$G$31, $X$7)=0, "",COUNTIFS($F$6:$F$31, $W4, $G$6:$G$31, $X$7))</f>
        <v/>
      </c>
      <c r="R14" s="47" t="str">
        <f t="shared" ref="R14:R17" si="1">IF(COUNTIFS($F$6:$F$31, $W4, $G$6:$G$31, $X$6)=0, "",COUNTIFS($F$6:$F$31, $W4, $G$6:$G$31, $X$6))</f>
        <v/>
      </c>
      <c r="S14" s="48" t="str">
        <f t="shared" ref="S14:S17" si="2">IF(COUNTIFS($F$6:$F$31, $W4, $G$6:$G$31, $X$5)=0, "",COUNTIFS($F$6:$F$31, $W4, $G$6:$G$31, $X$5))</f>
        <v/>
      </c>
      <c r="T14" s="49">
        <f t="shared" ref="T14:T17" si="3">IF(COUNTIFS($F$6:$F$31, $W4, $G$6:$G$31, $X$4)=0, "",COUNTIFS($F$6:$F$31, $W4, $G$6:$G$31, $X$4))</f>
        <v>1</v>
      </c>
      <c r="U14" s="50" t="str">
        <f t="shared" ref="U14:U17" si="4">IF(COUNTIFS($F$6:$F$31, $W4, $G$6:$G$31, $X$3)=0, "",COUNTIFS($F$6:$F$31, $W4, $G$6:$G$31, $X$3))</f>
        <v/>
      </c>
    </row>
    <row r="15" spans="2:24" ht="50.1" customHeight="1" x14ac:dyDescent="0.3">
      <c r="B15" s="61"/>
      <c r="C15" s="62"/>
      <c r="D15" s="65" t="s">
        <v>34</v>
      </c>
      <c r="E15" s="62"/>
      <c r="F15" s="17"/>
      <c r="G15" s="17"/>
      <c r="H15" s="19" t="str" cm="1">
        <f t="array" ref="H15">IFERROR(_xlfn.XLOOKUP(F15, P$6:P$10, _xlfn.XLOOKUP(G15, Q$5:U$5, Q$6:U$10)),"")</f>
        <v/>
      </c>
      <c r="I15" s="57"/>
      <c r="J15" s="57"/>
      <c r="K15" s="17"/>
      <c r="L15" s="17"/>
      <c r="M15" s="25" t="str" cm="1">
        <f t="array" ref="M15">IFERROR(_xlfn.XLOOKUP(K15, P$6:P$10, _xlfn.XLOOKUP(L15, Q$5:U$5, Q$6:U$10)),"")</f>
        <v/>
      </c>
      <c r="O15" s="71"/>
      <c r="P15" s="28" t="str">
        <f>W$5</f>
        <v>Medium</v>
      </c>
      <c r="Q15" s="46" t="str">
        <f t="shared" si="0"/>
        <v/>
      </c>
      <c r="R15" s="47">
        <f t="shared" si="1"/>
        <v>1</v>
      </c>
      <c r="S15" s="47" t="str">
        <f t="shared" si="2"/>
        <v/>
      </c>
      <c r="T15" s="48" t="str">
        <f t="shared" si="3"/>
        <v/>
      </c>
      <c r="U15" s="50" t="str">
        <f t="shared" si="4"/>
        <v/>
      </c>
    </row>
    <row r="16" spans="2:24" ht="50.1" customHeight="1" x14ac:dyDescent="0.3">
      <c r="B16" s="61"/>
      <c r="C16" s="62"/>
      <c r="D16" s="65" t="s">
        <v>34</v>
      </c>
      <c r="E16" s="62"/>
      <c r="F16" s="17"/>
      <c r="G16" s="17"/>
      <c r="H16" s="19" t="str" cm="1">
        <f t="array" ref="H16">IFERROR(_xlfn.XLOOKUP(F16, P$6:P$10, _xlfn.XLOOKUP(G16, Q$5:U$5, Q$6:U$10)),"")</f>
        <v/>
      </c>
      <c r="I16" s="57"/>
      <c r="J16" s="57"/>
      <c r="K16" s="17"/>
      <c r="L16" s="17"/>
      <c r="M16" s="25" t="str" cm="1">
        <f t="array" ref="M16">IFERROR(_xlfn.XLOOKUP(K16, P$6:P$10, _xlfn.XLOOKUP(L16, Q$5:U$5, Q$6:U$10)),"")</f>
        <v/>
      </c>
      <c r="O16" s="71"/>
      <c r="P16" s="28" t="str">
        <f>W$6</f>
        <v>Low</v>
      </c>
      <c r="Q16" s="46" t="str">
        <f t="shared" si="0"/>
        <v/>
      </c>
      <c r="R16" s="51" t="str">
        <f t="shared" si="1"/>
        <v/>
      </c>
      <c r="S16" s="47" t="str">
        <f t="shared" si="2"/>
        <v/>
      </c>
      <c r="T16" s="48" t="str">
        <f t="shared" si="3"/>
        <v/>
      </c>
      <c r="U16" s="50" t="str">
        <f t="shared" si="4"/>
        <v/>
      </c>
    </row>
    <row r="17" spans="2:21" ht="50.1" customHeight="1" thickBot="1" x14ac:dyDescent="0.35">
      <c r="B17" s="61"/>
      <c r="C17" s="62"/>
      <c r="D17" s="65" t="s">
        <v>34</v>
      </c>
      <c r="E17" s="62"/>
      <c r="F17" s="17"/>
      <c r="G17" s="17"/>
      <c r="H17" s="19" t="str" cm="1">
        <f t="array" ref="H17">IFERROR(_xlfn.XLOOKUP(F17, P$6:P$10, _xlfn.XLOOKUP(G17, Q$5:U$5, Q$6:U$10)),"")</f>
        <v/>
      </c>
      <c r="I17" s="57"/>
      <c r="J17" s="57"/>
      <c r="K17" s="17"/>
      <c r="L17" s="17"/>
      <c r="M17" s="25" t="str" cm="1">
        <f t="array" ref="M17">IFERROR(_xlfn.XLOOKUP(K17, P$6:P$10, _xlfn.XLOOKUP(L17, Q$5:U$5, Q$6:U$10)),"")</f>
        <v/>
      </c>
      <c r="O17" s="72"/>
      <c r="P17" s="29" t="str">
        <f>W$7</f>
        <v>Very Low</v>
      </c>
      <c r="Q17" s="52" t="str">
        <f t="shared" si="0"/>
        <v/>
      </c>
      <c r="R17" s="53" t="str">
        <f t="shared" si="1"/>
        <v/>
      </c>
      <c r="S17" s="53" t="str">
        <f t="shared" si="2"/>
        <v/>
      </c>
      <c r="T17" s="54" t="str">
        <f t="shared" si="3"/>
        <v/>
      </c>
      <c r="U17" s="55" t="str">
        <f t="shared" si="4"/>
        <v/>
      </c>
    </row>
    <row r="18" spans="2:21" ht="50.1" customHeight="1" thickBot="1" x14ac:dyDescent="0.4">
      <c r="B18" s="61"/>
      <c r="C18" s="62"/>
      <c r="D18" s="65" t="s">
        <v>34</v>
      </c>
      <c r="E18" s="62"/>
      <c r="F18" s="17"/>
      <c r="G18" s="17"/>
      <c r="H18" s="19" t="str" cm="1">
        <f t="array" ref="H18">IFERROR(_xlfn.XLOOKUP(F18, P$6:P$10, _xlfn.XLOOKUP(G18, Q$5:U$5, Q$6:U$10)),"")</f>
        <v/>
      </c>
      <c r="I18" s="57"/>
      <c r="J18" s="57"/>
      <c r="K18" s="17"/>
      <c r="L18" s="17"/>
      <c r="M18" s="25" t="str" cm="1">
        <f t="array" ref="M18">IFERROR(_xlfn.XLOOKUP(K18, P$6:P$10, _xlfn.XLOOKUP(L18, Q$5:U$5, Q$6:U$10)),"")</f>
        <v/>
      </c>
      <c r="O18" s="67" t="s">
        <v>33</v>
      </c>
      <c r="P18" s="67"/>
      <c r="Q18" s="67"/>
      <c r="R18" s="67"/>
    </row>
    <row r="19" spans="2:21" ht="50.1" customHeight="1" thickBot="1" x14ac:dyDescent="0.35">
      <c r="B19" s="61"/>
      <c r="C19" s="62"/>
      <c r="D19" s="65" t="s">
        <v>34</v>
      </c>
      <c r="E19" s="62"/>
      <c r="F19" s="17"/>
      <c r="G19" s="17"/>
      <c r="H19" s="19" t="str" cm="1">
        <f t="array" ref="H19">IFERROR(_xlfn.XLOOKUP(F19, P$6:P$10, _xlfn.XLOOKUP(G19, Q$5:U$5, Q$6:U$10)),"")</f>
        <v/>
      </c>
      <c r="I19" s="57"/>
      <c r="J19" s="57"/>
      <c r="K19" s="17"/>
      <c r="L19" s="17"/>
      <c r="M19" s="25" t="str" cm="1">
        <f t="array" ref="M19">IFERROR(_xlfn.XLOOKUP(K19, P$6:P$10, _xlfn.XLOOKUP(L19, Q$5:U$5, Q$6:U$10)),"")</f>
        <v/>
      </c>
      <c r="O19" s="68" t="s">
        <v>31</v>
      </c>
      <c r="P19" s="69"/>
      <c r="Q19" s="5" t="str">
        <f>X$7</f>
        <v>Very Low</v>
      </c>
      <c r="R19" s="6" t="str">
        <f>X$6</f>
        <v>Low</v>
      </c>
      <c r="S19" s="30" t="str">
        <f>X$5</f>
        <v>Medium</v>
      </c>
      <c r="T19" s="6" t="str">
        <f>X$4</f>
        <v>High</v>
      </c>
      <c r="U19" s="31" t="str">
        <f>X$3</f>
        <v>Very High</v>
      </c>
    </row>
    <row r="20" spans="2:21" ht="50.1" customHeight="1" x14ac:dyDescent="0.3">
      <c r="B20" s="61"/>
      <c r="C20" s="62"/>
      <c r="D20" s="65" t="s">
        <v>34</v>
      </c>
      <c r="E20" s="62"/>
      <c r="F20" s="17"/>
      <c r="G20" s="17"/>
      <c r="H20" s="19" t="str" cm="1">
        <f t="array" ref="H20">IFERROR(_xlfn.XLOOKUP(F20, P$6:P$10, _xlfn.XLOOKUP(G20, Q$5:U$5, Q$6:U$10)),"")</f>
        <v/>
      </c>
      <c r="I20" s="57"/>
      <c r="J20" s="57"/>
      <c r="K20" s="17"/>
      <c r="L20" s="17"/>
      <c r="M20" s="25" t="str" cm="1">
        <f t="array" ref="M20">IFERROR(_xlfn.XLOOKUP(K20, P$6:P$10, _xlfn.XLOOKUP(L20, Q$5:U$5, Q$6:U$10)),"")</f>
        <v/>
      </c>
      <c r="O20" s="70" t="s">
        <v>30</v>
      </c>
      <c r="P20" s="27" t="str">
        <f>W$3</f>
        <v>Very High</v>
      </c>
      <c r="Q20" s="42" t="str">
        <f>IF(COUNTIFS($K$6:$K$31, $W3, $L$6:$L$31, $X$7)=0, "",COUNTIFS($K$6:$K$31, $W3, $L$6:$L$31, $X$7))</f>
        <v/>
      </c>
      <c r="R20" s="43" t="str">
        <f>IF(COUNTIFS($K$6:$K$31, $W3, $L$6:$L$31, $X$6)=0, "",COUNTIFS($K$6:$K$31, $W3, $L$6:$L$31, $X$6))</f>
        <v/>
      </c>
      <c r="S20" s="43" t="str">
        <f>IF(COUNTIFS($K$6:$K$31, $W3, $L$6:$L$31, $X$5)=0, "",COUNTIFS($K$6:$K$31, $W3, $L$6:$L$31, $X$5))</f>
        <v/>
      </c>
      <c r="T20" s="44" t="str">
        <f>IF(COUNTIFS($K$6:$K$31, $W3, $L$6:$L$31, $X$4)=0, "",COUNTIFS($K$6:$K$31, $W3, $L$6:$L$31, $X$4))</f>
        <v/>
      </c>
      <c r="U20" s="45" t="str">
        <f>IF(COUNTIFS($K$6:$K$31, $W3, $L$6:$L$31, $X$3)=0, "",COUNTIFS($K$6:$K$31, $W3, $L$6:$L$31, $X$3))</f>
        <v/>
      </c>
    </row>
    <row r="21" spans="2:21" ht="50.1" customHeight="1" x14ac:dyDescent="0.3">
      <c r="B21" s="61"/>
      <c r="C21" s="62"/>
      <c r="D21" s="65" t="s">
        <v>34</v>
      </c>
      <c r="E21" s="62"/>
      <c r="F21" s="17"/>
      <c r="G21" s="17"/>
      <c r="H21" s="19" t="str" cm="1">
        <f t="array" ref="H21">IFERROR(_xlfn.XLOOKUP(F21, P$6:P$10, _xlfn.XLOOKUP(G21, Q$5:U$5, Q$6:U$10)),"")</f>
        <v/>
      </c>
      <c r="I21" s="57"/>
      <c r="J21" s="57"/>
      <c r="K21" s="17"/>
      <c r="L21" s="17"/>
      <c r="M21" s="25" t="str" cm="1">
        <f t="array" ref="M21">IFERROR(_xlfn.XLOOKUP(K21, P$6:P$10, _xlfn.XLOOKUP(L21, Q$5:U$5, Q$6:U$10)),"")</f>
        <v/>
      </c>
      <c r="O21" s="71"/>
      <c r="P21" s="28" t="str">
        <f>W$4</f>
        <v>High</v>
      </c>
      <c r="Q21" s="46" t="str">
        <f t="shared" ref="Q21:Q24" si="5">IF(COUNTIFS($K$6:$K$31, $W4, $L$6:$L$31, $X$7)=0, "",COUNTIFS($K$6:$K$31, $W4, $L$6:$L$31, $X$7))</f>
        <v/>
      </c>
      <c r="R21" s="47">
        <f t="shared" ref="R21:R24" si="6">IF(COUNTIFS($K$6:$K$31, $W4, $L$6:$L$31, $X$6)=0, "",COUNTIFS($K$6:$K$31, $W4, $L$6:$L$31, $X$6))</f>
        <v>1</v>
      </c>
      <c r="S21" s="48" t="str">
        <f t="shared" ref="S21:S24" si="7">IF(COUNTIFS($K$6:$K$31, $W4, $L$6:$L$31, $X$5)=0, "",COUNTIFS($K$6:$K$31, $W4, $L$6:$L$31, $X$5))</f>
        <v/>
      </c>
      <c r="T21" s="49" t="str">
        <f t="shared" ref="T21:T24" si="8">IF(COUNTIFS($K$6:$K$31, $W4, $L$6:$L$31, $X$4)=0, "",COUNTIFS($K$6:$K$31, $W4, $L$6:$L$31, $X$4))</f>
        <v/>
      </c>
      <c r="U21" s="50" t="str">
        <f t="shared" ref="U21:U24" si="9">IF(COUNTIFS($K$6:$K$31, $W4, $L$6:$L$31, $X$3)=0, "",COUNTIFS($K$6:$K$31, $W4, $L$6:$L$31, $X$3))</f>
        <v/>
      </c>
    </row>
    <row r="22" spans="2:21" ht="50.1" customHeight="1" x14ac:dyDescent="0.3">
      <c r="B22" s="61"/>
      <c r="C22" s="62"/>
      <c r="D22" s="65" t="s">
        <v>34</v>
      </c>
      <c r="E22" s="62"/>
      <c r="F22" s="17"/>
      <c r="G22" s="17"/>
      <c r="H22" s="19" t="str" cm="1">
        <f t="array" ref="H22">IFERROR(_xlfn.XLOOKUP(F22, P$6:P$10, _xlfn.XLOOKUP(G22, Q$5:U$5, Q$6:U$10)),"")</f>
        <v/>
      </c>
      <c r="I22" s="57"/>
      <c r="J22" s="57"/>
      <c r="K22" s="17"/>
      <c r="L22" s="17"/>
      <c r="M22" s="25" t="str" cm="1">
        <f t="array" ref="M22">IFERROR(_xlfn.XLOOKUP(K22, P$6:P$10, _xlfn.XLOOKUP(L22, Q$5:U$5, Q$6:U$10)),"")</f>
        <v/>
      </c>
      <c r="O22" s="71"/>
      <c r="P22" s="28" t="str">
        <f>W$5</f>
        <v>Medium</v>
      </c>
      <c r="Q22" s="46">
        <f t="shared" si="5"/>
        <v>1</v>
      </c>
      <c r="R22" s="47" t="str">
        <f t="shared" si="6"/>
        <v/>
      </c>
      <c r="S22" s="47" t="str">
        <f t="shared" si="7"/>
        <v/>
      </c>
      <c r="T22" s="48" t="str">
        <f t="shared" si="8"/>
        <v/>
      </c>
      <c r="U22" s="50" t="str">
        <f t="shared" si="9"/>
        <v/>
      </c>
    </row>
    <row r="23" spans="2:21" ht="50.1" customHeight="1" x14ac:dyDescent="0.3">
      <c r="B23" s="61"/>
      <c r="C23" s="62"/>
      <c r="D23" s="65" t="s">
        <v>34</v>
      </c>
      <c r="E23" s="62"/>
      <c r="F23" s="17"/>
      <c r="G23" s="17"/>
      <c r="H23" s="19" t="str" cm="1">
        <f t="array" ref="H23">IFERROR(_xlfn.XLOOKUP(F23, P$6:P$10, _xlfn.XLOOKUP(G23, Q$5:U$5, Q$6:U$10)),"")</f>
        <v/>
      </c>
      <c r="I23" s="57"/>
      <c r="J23" s="57"/>
      <c r="K23" s="17"/>
      <c r="L23" s="17"/>
      <c r="M23" s="25" t="str" cm="1">
        <f t="array" ref="M23">IFERROR(_xlfn.XLOOKUP(K23, P$6:P$10, _xlfn.XLOOKUP(L23, Q$5:U$5, Q$6:U$10)),"")</f>
        <v/>
      </c>
      <c r="O23" s="71"/>
      <c r="P23" s="28" t="str">
        <f>W$6</f>
        <v>Low</v>
      </c>
      <c r="Q23" s="46" t="str">
        <f t="shared" si="5"/>
        <v/>
      </c>
      <c r="R23" s="51" t="str">
        <f t="shared" si="6"/>
        <v/>
      </c>
      <c r="S23" s="47" t="str">
        <f t="shared" si="7"/>
        <v/>
      </c>
      <c r="T23" s="48" t="str">
        <f t="shared" si="8"/>
        <v/>
      </c>
      <c r="U23" s="50" t="str">
        <f t="shared" si="9"/>
        <v/>
      </c>
    </row>
    <row r="24" spans="2:21" ht="50.1" customHeight="1" thickBot="1" x14ac:dyDescent="0.35">
      <c r="B24" s="61"/>
      <c r="C24" s="62"/>
      <c r="D24" s="65" t="s">
        <v>34</v>
      </c>
      <c r="E24" s="62"/>
      <c r="F24" s="17"/>
      <c r="G24" s="17"/>
      <c r="H24" s="19" t="str" cm="1">
        <f t="array" ref="H24">IFERROR(_xlfn.XLOOKUP(F24, P$6:P$10, _xlfn.XLOOKUP(G24, Q$5:U$5, Q$6:U$10)),"")</f>
        <v/>
      </c>
      <c r="I24" s="57"/>
      <c r="J24" s="57"/>
      <c r="K24" s="17"/>
      <c r="L24" s="17"/>
      <c r="M24" s="25" t="str" cm="1">
        <f t="array" ref="M24">IFERROR(_xlfn.XLOOKUP(K24, P$6:P$10, _xlfn.XLOOKUP(L24, Q$5:U$5, Q$6:U$10)),"")</f>
        <v/>
      </c>
      <c r="O24" s="72"/>
      <c r="P24" s="29" t="str">
        <f>W$7</f>
        <v>Very Low</v>
      </c>
      <c r="Q24" s="52" t="str">
        <f t="shared" si="5"/>
        <v/>
      </c>
      <c r="R24" s="53" t="str">
        <f t="shared" si="6"/>
        <v/>
      </c>
      <c r="S24" s="53" t="str">
        <f t="shared" si="7"/>
        <v/>
      </c>
      <c r="T24" s="54" t="str">
        <f t="shared" si="8"/>
        <v/>
      </c>
      <c r="U24" s="55" t="str">
        <f t="shared" si="9"/>
        <v/>
      </c>
    </row>
    <row r="25" spans="2:21" ht="50.1" customHeight="1" x14ac:dyDescent="0.3">
      <c r="B25" s="61"/>
      <c r="C25" s="62"/>
      <c r="D25" s="65" t="s">
        <v>34</v>
      </c>
      <c r="E25" s="62"/>
      <c r="F25" s="17"/>
      <c r="G25" s="17"/>
      <c r="H25" s="19" t="str" cm="1">
        <f t="array" ref="H25">IFERROR(_xlfn.XLOOKUP(F25, P$6:P$10, _xlfn.XLOOKUP(G25, Q$5:U$5, Q$6:U$10)),"")</f>
        <v/>
      </c>
      <c r="I25" s="57"/>
      <c r="J25" s="57"/>
      <c r="K25" s="17"/>
      <c r="L25" s="17"/>
      <c r="M25" s="25" t="str" cm="1">
        <f t="array" ref="M25">IFERROR(_xlfn.XLOOKUP(K25, P$6:P$10, _xlfn.XLOOKUP(L25, Q$5:U$5, Q$6:U$10)),"")</f>
        <v/>
      </c>
    </row>
    <row r="26" spans="2:21" ht="50.1" customHeight="1" x14ac:dyDescent="0.3">
      <c r="B26" s="61"/>
      <c r="C26" s="62"/>
      <c r="D26" s="65" t="s">
        <v>34</v>
      </c>
      <c r="E26" s="62"/>
      <c r="F26" s="17"/>
      <c r="G26" s="17"/>
      <c r="H26" s="19" t="str" cm="1">
        <f t="array" ref="H26">IFERROR(_xlfn.XLOOKUP(F26, P$6:P$10, _xlfn.XLOOKUP(G26, Q$5:U$5, Q$6:U$10)),"")</f>
        <v/>
      </c>
      <c r="I26" s="57"/>
      <c r="J26" s="57"/>
      <c r="K26" s="17"/>
      <c r="L26" s="17"/>
      <c r="M26" s="25" t="str" cm="1">
        <f t="array" ref="M26">IFERROR(_xlfn.XLOOKUP(K26, P$6:P$10, _xlfn.XLOOKUP(L26, Q$5:U$5, Q$6:U$10)),"")</f>
        <v/>
      </c>
    </row>
    <row r="27" spans="2:21" ht="50.1" customHeight="1" x14ac:dyDescent="0.3">
      <c r="B27" s="61"/>
      <c r="C27" s="62"/>
      <c r="D27" s="65" t="s">
        <v>34</v>
      </c>
      <c r="E27" s="62"/>
      <c r="F27" s="17"/>
      <c r="G27" s="17"/>
      <c r="H27" s="19" t="str" cm="1">
        <f t="array" ref="H27">IFERROR(_xlfn.XLOOKUP(F27, P$6:P$10, _xlfn.XLOOKUP(G27, Q$5:U$5, Q$6:U$10)),"")</f>
        <v/>
      </c>
      <c r="I27" s="57"/>
      <c r="J27" s="57"/>
      <c r="K27" s="17"/>
      <c r="L27" s="17"/>
      <c r="M27" s="25" t="str" cm="1">
        <f t="array" ref="M27">IFERROR(_xlfn.XLOOKUP(K27, P$6:P$10, _xlfn.XLOOKUP(L27, Q$5:U$5, Q$6:U$10)),"")</f>
        <v/>
      </c>
    </row>
    <row r="28" spans="2:21" ht="50.1" customHeight="1" x14ac:dyDescent="0.3">
      <c r="B28" s="61"/>
      <c r="C28" s="62"/>
      <c r="D28" s="65" t="s">
        <v>34</v>
      </c>
      <c r="E28" s="62"/>
      <c r="F28" s="17"/>
      <c r="G28" s="17"/>
      <c r="H28" s="19" t="str" cm="1">
        <f t="array" ref="H28">IFERROR(_xlfn.XLOOKUP(F28, P$6:P$10, _xlfn.XLOOKUP(G28, Q$5:U$5, Q$6:U$10)),"")</f>
        <v/>
      </c>
      <c r="I28" s="57"/>
      <c r="J28" s="57"/>
      <c r="K28" s="17"/>
      <c r="L28" s="17"/>
      <c r="M28" s="25" t="str" cm="1">
        <f t="array" ref="M28">IFERROR(_xlfn.XLOOKUP(K28, P$6:P$10, _xlfn.XLOOKUP(L28, Q$5:U$5, Q$6:U$10)),"")</f>
        <v/>
      </c>
    </row>
    <row r="29" spans="2:21" ht="50.1" customHeight="1" x14ac:dyDescent="0.3">
      <c r="B29" s="61"/>
      <c r="C29" s="62"/>
      <c r="D29" s="65" t="s">
        <v>34</v>
      </c>
      <c r="E29" s="62"/>
      <c r="F29" s="17"/>
      <c r="G29" s="17"/>
      <c r="H29" s="19" t="str" cm="1">
        <f t="array" ref="H29">IFERROR(_xlfn.XLOOKUP(F29, P$6:P$10, _xlfn.XLOOKUP(G29, Q$5:U$5, Q$6:U$10)),"")</f>
        <v/>
      </c>
      <c r="I29" s="57"/>
      <c r="J29" s="57"/>
      <c r="K29" s="17"/>
      <c r="L29" s="17"/>
      <c r="M29" s="25" t="str" cm="1">
        <f t="array" ref="M29">IFERROR(_xlfn.XLOOKUP(K29, P$6:P$10, _xlfn.XLOOKUP(L29, Q$5:U$5, Q$6:U$10)),"")</f>
        <v/>
      </c>
    </row>
    <row r="30" spans="2:21" ht="50.1" customHeight="1" x14ac:dyDescent="0.3">
      <c r="B30" s="61"/>
      <c r="C30" s="62"/>
      <c r="D30" s="65" t="s">
        <v>34</v>
      </c>
      <c r="E30" s="62"/>
      <c r="F30" s="17"/>
      <c r="G30" s="17"/>
      <c r="H30" s="19" t="str" cm="1">
        <f t="array" ref="H30">IFERROR(_xlfn.XLOOKUP(F30, P$6:P$10, _xlfn.XLOOKUP(G30, Q$5:U$5, Q$6:U$10)),"")</f>
        <v/>
      </c>
      <c r="I30" s="57"/>
      <c r="J30" s="57"/>
      <c r="K30" s="17"/>
      <c r="L30" s="17"/>
      <c r="M30" s="25" t="str" cm="1">
        <f t="array" ref="M30">IFERROR(_xlfn.XLOOKUP(K30, P$6:P$10, _xlfn.XLOOKUP(L30, Q$5:U$5, Q$6:U$10)),"")</f>
        <v/>
      </c>
    </row>
    <row r="31" spans="2:21" ht="50.1" customHeight="1" thickBot="1" x14ac:dyDescent="0.35">
      <c r="B31" s="63"/>
      <c r="C31" s="64"/>
      <c r="D31" s="66" t="s">
        <v>34</v>
      </c>
      <c r="E31" s="64"/>
      <c r="F31" s="18"/>
      <c r="G31" s="18"/>
      <c r="H31" s="18" t="str" cm="1">
        <f t="array" ref="H31">IFERROR(_xlfn.XLOOKUP(F31, P$6:P$10, _xlfn.XLOOKUP(G31, Q$5:U$5, Q$6:U$10)),"")</f>
        <v/>
      </c>
      <c r="I31" s="58"/>
      <c r="J31" s="58"/>
      <c r="K31" s="18"/>
      <c r="L31" s="18"/>
      <c r="M31" s="26" t="str" cm="1">
        <f t="array" ref="M31">IFERROR(_xlfn.XLOOKUP(K31, P$6:P$10, _xlfn.XLOOKUP(L31, Q$5:U$5, Q$6:U$10)),"")</f>
        <v/>
      </c>
    </row>
  </sheetData>
  <mergeCells count="12">
    <mergeCell ref="O11:R11"/>
    <mergeCell ref="O6:O10"/>
    <mergeCell ref="B1:M1"/>
    <mergeCell ref="F2:H2"/>
    <mergeCell ref="F4:H4"/>
    <mergeCell ref="K4:M4"/>
    <mergeCell ref="O5:P5"/>
    <mergeCell ref="O18:R18"/>
    <mergeCell ref="O19:P19"/>
    <mergeCell ref="O20:O24"/>
    <mergeCell ref="O12:P12"/>
    <mergeCell ref="O13:O17"/>
  </mergeCells>
  <conditionalFormatting sqref="H6:H31">
    <cfRule type="containsText" dxfId="7" priority="6" operator="containsText" text="Critical">
      <formula>NOT(ISERROR(SEARCH("Critical",H6)))</formula>
    </cfRule>
    <cfRule type="containsText" dxfId="6" priority="7" operator="containsText" text="Sustainable">
      <formula>NOT(ISERROR(SEARCH("Sustainable",H6)))</formula>
    </cfRule>
    <cfRule type="containsText" dxfId="5" priority="8" operator="containsText" text="Moderate">
      <formula>NOT(ISERROR(SEARCH("Moderate",H6)))</formula>
    </cfRule>
    <cfRule type="containsText" dxfId="4" priority="9" operator="containsText" text="Severe">
      <formula>NOT(ISERROR(SEARCH("Severe",H6)))</formula>
    </cfRule>
  </conditionalFormatting>
  <conditionalFormatting sqref="M6:M31">
    <cfRule type="containsText" dxfId="3" priority="2" operator="containsText" text="Severe">
      <formula>NOT(ISERROR(SEARCH("Severe",M6)))</formula>
    </cfRule>
    <cfRule type="containsText" dxfId="2" priority="3" operator="containsText" text="Moderate">
      <formula>NOT(ISERROR(SEARCH("Moderate",M6)))</formula>
    </cfRule>
    <cfRule type="containsText" dxfId="1" priority="4" operator="containsText" text="Critical">
      <formula>NOT(ISERROR(SEARCH("Critical",M6)))</formula>
    </cfRule>
    <cfRule type="containsText" dxfId="0" priority="5" operator="containsText" text="Sustainable">
      <formula>NOT(ISERROR(SEARCH("Sustainable",M6)))</formula>
    </cfRule>
  </conditionalFormatting>
  <dataValidations count="2">
    <dataValidation type="list" allowBlank="1" showInputMessage="1" showErrorMessage="1" sqref="F6:F31 K6:K31" xr:uid="{70FF0CE3-2EBD-4C44-AA0F-EC7A943950A9}">
      <formula1>$W$3:$W$7</formula1>
    </dataValidation>
    <dataValidation type="list" allowBlank="1" showInputMessage="1" showErrorMessage="1" sqref="G6:G31 L6:L31" xr:uid="{CDADADC2-CAE5-41D3-8773-CF4C1F767C21}">
      <formula1>$X$3:$X$7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Colby Kellersberger</dc:creator>
  <cp:lastModifiedBy>Colby Kellersberger</cp:lastModifiedBy>
  <dcterms:created xsi:type="dcterms:W3CDTF">2025-04-09T21:51:33Z</dcterms:created>
  <dcterms:modified xsi:type="dcterms:W3CDTF">2026-06-17T14:54:42Z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eb17885-2556-4309-91b4-fa98cd9438a1_Enabled">
    <vt:lpwstr>true</vt:lpwstr>
  </property>
  <property fmtid="{D5CDD505-2E9C-101B-9397-08002B2CF9AE}" pid="3" name="MSIP_Label_eeb17885-2556-4309-91b4-fa98cd9438a1_SetDate">
    <vt:lpwstr>2026-06-17T14:54:42Z</vt:lpwstr>
  </property>
  <property fmtid="{D5CDD505-2E9C-101B-9397-08002B2CF9AE}" pid="4" name="MSIP_Label_eeb17885-2556-4309-91b4-fa98cd9438a1_Method">
    <vt:lpwstr>Standard</vt:lpwstr>
  </property>
  <property fmtid="{D5CDD505-2E9C-101B-9397-08002B2CF9AE}" pid="5" name="MSIP_Label_eeb17885-2556-4309-91b4-fa98cd9438a1_Name">
    <vt:lpwstr>Sensitive</vt:lpwstr>
  </property>
  <property fmtid="{D5CDD505-2E9C-101B-9397-08002B2CF9AE}" pid="6" name="MSIP_Label_eeb17885-2556-4309-91b4-fa98cd9438a1_SiteId">
    <vt:lpwstr>fed88f8a-2430-4f2d-a520-9331f1583afb</vt:lpwstr>
  </property>
  <property fmtid="{D5CDD505-2E9C-101B-9397-08002B2CF9AE}" pid="7" name="MSIP_Label_eeb17885-2556-4309-91b4-fa98cd9438a1_ActionId">
    <vt:lpwstr>130c2cd8-840d-4045-988d-5f92ac8e6804</vt:lpwstr>
  </property>
  <property fmtid="{D5CDD505-2E9C-101B-9397-08002B2CF9AE}" pid="8" name="MSIP_Label_eeb17885-2556-4309-91b4-fa98cd9438a1_ContentBits">
    <vt:lpwstr>0</vt:lpwstr>
  </property>
  <property fmtid="{D5CDD505-2E9C-101B-9397-08002B2CF9AE}" pid="9" name="MSIP_Label_eeb17885-2556-4309-91b4-fa98cd9438a1_Tag">
    <vt:lpwstr>10, 3, 0, 1</vt:lpwstr>
  </property>
</Properties>
</file>