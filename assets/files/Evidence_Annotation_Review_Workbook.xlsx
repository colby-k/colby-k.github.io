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ee3dd592b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06e51033342e4bdf"/>
    <x:sheet xmlns:r="http://schemas.openxmlformats.org/officeDocument/2006/relationships" name="Attribute Testing" sheetId="2" r:id="Rf17e46aa5e0c4a9b"/>
    <x:sheet xmlns:r="http://schemas.openxmlformats.org/officeDocument/2006/relationships" name="Tickmark Legend" sheetId="3" r:id="R02c999b0418f4758"/>
    <x:sheet xmlns:r="http://schemas.openxmlformats.org/officeDocument/2006/relationships" name="Source Data" sheetId="4" r:id="Rdf61f0039eaa45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d, yyyy"/>
    <x:numFmt numFmtId="201" formatCode="mmm d, yyyy h:mm AM/PM"/>
    <x:numFmt numFmtId="202" formatCode="$#,##0.00"/>
  </x:numFmts>
  <x:fonts count="25">
    <x:font>
      <x:sz val="11"/>
      <x:name val="Carlito"/>
    </x:font>
    <x:font>
      <x:b/>
      <x:sz val="20"/>
      <x:color rgb="FFFFFFFF"/>
      <x:name val="Carlito"/>
    </x:font>
    <x:font>
      <x:i/>
      <x:sz val="10"/>
      <x:color rgb="FF07111F"/>
      <x:name val="Carlito"/>
    </x:font>
    <x:font>
      <x:b/>
      <x:sz val="11"/>
      <x:color rgb="FF07111F"/>
      <x:name val="Carlito"/>
    </x:font>
    <x:font>
      <x:b/>
      <x:sz val="11"/>
      <x:color rgb="FF6E6E73"/>
      <x:name val="Carlito"/>
    </x:font>
    <x:font>
      <x:sz val="11"/>
      <x:color rgb="FF07111F"/>
      <x:name val="Carlito"/>
    </x:font>
    <x:font>
      <x:b/>
      <x:sz val="10"/>
      <x:color rgb="FF16835B"/>
      <x:name val="Carlito"/>
    </x:font>
    <x:font>
      <x:sz val="10"/>
      <x:color rgb="FF07111F"/>
      <x:name val="Carlito"/>
    </x:font>
    <x:font>
      <x:b/>
      <x:sz val="9"/>
      <x:color rgb="FF42D6B0"/>
      <x:name val="Carlito"/>
    </x:font>
    <x:font>
      <x:b/>
      <x:sz val="20"/>
      <x:color rgb="FFFFFFFF"/>
      <x:name val="Aptos"/>
    </x:font>
    <x:font>
      <x:i/>
      <x:sz val="10"/>
      <x:color rgb="FF07111F"/>
      <x:name val="Aptos"/>
    </x:font>
    <x:font>
      <x:sz val="11"/>
      <x:name val="Aptos"/>
    </x:font>
    <x:font>
      <x:b/>
      <x:sz val="11"/>
      <x:color rgb="FF07111F"/>
      <x:name val="Aptos"/>
    </x:font>
    <x:font>
      <x:b/>
      <x:sz val="11"/>
      <x:color rgb="FF6E6E73"/>
      <x:name val="Aptos"/>
    </x:font>
    <x:font>
      <x:sz val="11"/>
      <x:color rgb="FF07111F"/>
      <x:name val="Aptos"/>
    </x:font>
    <x:font>
      <x:b/>
      <x:sz val="10"/>
      <x:color rgb="FF16835B"/>
      <x:name val="Aptos"/>
    </x:font>
    <x:font>
      <x:sz val="10"/>
      <x:color rgb="FF07111F"/>
      <x:name val="Aptos"/>
    </x:font>
    <x:font>
      <x:b/>
      <x:sz val="9"/>
      <x:color rgb="FF42D6B0"/>
      <x:name val="Aptos"/>
    </x:font>
    <x:font>
      <x:b/>
      <x:sz val="9"/>
      <x:color rgb="FFFFFFFF"/>
      <x:name val="Carlito"/>
    </x:font>
    <x:font>
      <x:sz val="9"/>
      <x:color rgb="FF07111F"/>
      <x:name val="Carlito"/>
    </x:font>
    <x:font>
      <x:b/>
      <x:sz val="10"/>
      <x:color rgb="FF0071E3"/>
      <x:name val="Carlito"/>
    </x:font>
    <x:font>
      <x:b/>
      <x:sz val="9"/>
      <x:color rgb="FF16835B"/>
      <x:name val="Carlito"/>
    </x:font>
    <x:font>
      <x:b/>
      <x:sz val="10"/>
      <x:color rgb="FFD92D20"/>
      <x:name val="Carlito"/>
    </x:font>
    <x:font>
      <x:b/>
      <x:sz val="11"/>
      <x:color rgb="FFFFFFFF"/>
      <x:name val="Carlito"/>
    </x:font>
    <x:font>
      <x:b/>
      <x:sz val="9"/>
      <x:color rgb="FF07111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7111F"/>
      </x:patternFill>
    </x:fill>
    <x:fill>
      <x:patternFill patternType="solid">
        <x:fgColor rgb="FFEAF4FF"/>
      </x:patternFill>
    </x:fill>
    <x:fill>
      <x:patternFill patternType="solid">
        <x:fgColor rgb="FFE8F2FF"/>
      </x:patternFill>
    </x:fill>
    <x:fill>
      <x:patternFill patternType="solid">
        <x:fgColor rgb="FFF5F5F7"/>
      </x:patternFill>
    </x:fill>
    <x:fill>
      <x:patternFill patternType="solid">
        <x:fgColor rgb="FFE9F8F2"/>
      </x:patternFill>
    </x:fill>
    <x:fill>
      <x:patternFill patternType="solid">
        <x:fgColor rgb="FFFFF9E8"/>
      </x:patternFill>
    </x:fill>
    <x:fill>
      <x:patternFill patternType="solid">
        <x:fgColor rgb="FFD92D20"/>
      </x:patternFill>
    </x:fill>
    <x:fill>
      <x:patternFill patternType="solid">
        <x:fgColor rgb="FFFFF1F0"/>
      </x:patternFill>
    </x:fill>
  </x:fills>
  <x:borders count="20">
    <x:border/>
    <x:border>
      <x:bottom style="thin">
        <x:color rgb="FFD2D2D7"/>
      </x:bottom>
    </x:border>
    <x:border>
      <x:top style="thin">
        <x:color rgb="FFD2D2D7"/>
      </x:top>
      <x:bottom style="thin">
        <x:color rgb="FFD2D2D7"/>
      </x:bottom>
    </x:border>
    <x:border>
      <x:left style="thin">
        <x:color rgb="FFD2D2D7"/>
      </x:left>
      <x:top style="thin">
        <x:color rgb="FFD2D2D7"/>
      </x:top>
    </x:border>
    <x:border>
      <x:top style="thin">
        <x:color rgb="FFD2D2D7"/>
      </x:top>
    </x:border>
    <x:border>
      <x:right style="thin">
        <x:color rgb="FFD2D2D7"/>
      </x:right>
      <x:top style="thin">
        <x:color rgb="FFD2D2D7"/>
      </x:top>
    </x:border>
    <x:border>
      <x:left style="thin">
        <x:color rgb="FFD2D2D7"/>
      </x:left>
    </x:border>
    <x:border>
      <x:right style="thin">
        <x:color rgb="FFD2D2D7"/>
      </x:right>
    </x:border>
    <x:border>
      <x:left style="thin">
        <x:color rgb="FFD2D2D7"/>
      </x:left>
      <x:bottom style="thin">
        <x:color rgb="FFD2D2D7"/>
      </x:bottom>
    </x:border>
    <x:border>
      <x:right style="thin">
        <x:color rgb="FFD2D2D7"/>
      </x:right>
      <x:bottom style="thin">
        <x:color rgb="FFD2D2D7"/>
      </x:bottom>
    </x:border>
    <x:border>
      <x:left style="thin">
        <x:color rgb="FFE5C76B"/>
      </x:left>
      <x:top style="thin">
        <x:color rgb="FFE5C76B"/>
      </x:top>
    </x:border>
    <x:border>
      <x:top style="thin">
        <x:color rgb="FFE5C76B"/>
      </x:top>
    </x:border>
    <x:border>
      <x:right style="thin">
        <x:color rgb="FFE5C76B"/>
      </x:right>
      <x:top style="thin">
        <x:color rgb="FFE5C76B"/>
      </x:top>
    </x:border>
    <x:border>
      <x:left style="thin">
        <x:color rgb="FFE5C76B"/>
      </x:left>
    </x:border>
    <x:border>
      <x:right style="thin">
        <x:color rgb="FFE5C76B"/>
      </x:right>
    </x:border>
    <x:border>
      <x:left style="thin">
        <x:color rgb="FFE5C76B"/>
      </x:left>
      <x:bottom style="thin">
        <x:color rgb="FFE5C76B"/>
      </x:bottom>
    </x:border>
    <x:border>
      <x:bottom style="thin">
        <x:color rgb="FFE5C76B"/>
      </x:bottom>
    </x:border>
    <x:border>
      <x:right style="thin">
        <x:color rgb="FFE5C76B"/>
      </x:right>
      <x:bottom style="thin">
        <x:color rgb="FFE5C76B"/>
      </x:bottom>
    </x:border>
    <x:border>
      <x:bottom style="thin">
        <x:color rgb="FFE3A09A"/>
      </x:bottom>
    </x:border>
    <x:border>
      <x:top style="thin">
        <x:color rgb="FFE3A09A"/>
      </x:top>
      <x:bottom style="thin">
        <x:color rgb="FFE3A09A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9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vertical="top" wrapText="1"/>
    </x:xf>
    <x:xf numFmtId="0" fontId="7" fillId="7" borderId="11" xfId="0" applyNumberFormat="1" applyFont="1" applyFill="1" applyBorder="1" applyAlignment="1">
      <x:alignment vertical="top" wrapText="1"/>
    </x:xf>
    <x:xf numFmtId="0" fontId="7" fillId="7" borderId="12" xfId="0" applyNumberFormat="1" applyFont="1" applyFill="1" applyBorder="1" applyAlignment="1">
      <x:alignment vertical="top" wrapText="1"/>
    </x:xf>
    <x:xf numFmtId="0" fontId="7" fillId="7" borderId="13" xfId="0" applyNumberFormat="1" applyFont="1" applyFill="1" applyBorder="1" applyAlignment="1">
      <x:alignment vertical="top" wrapText="1"/>
    </x:xf>
    <x:xf numFmtId="0" fontId="7" fillId="7" borderId="14" xfId="0" applyNumberFormat="1" applyFont="1" applyFill="1" applyBorder="1" applyAlignment="1">
      <x:alignment vertical="top" wrapText="1"/>
    </x:xf>
    <x:xf numFmtId="0" fontId="7" fillId="7" borderId="15" xfId="0" applyNumberFormat="1" applyFont="1" applyFill="1" applyBorder="1" applyAlignment="1">
      <x:alignment vertical="top" wrapText="1"/>
    </x:xf>
    <x:xf numFmtId="0" fontId="7" fillId="7" borderId="16" xfId="0" applyNumberFormat="1" applyFont="1" applyFill="1" applyBorder="1" applyAlignment="1">
      <x:alignment vertical="top" wrapText="1"/>
    </x:xf>
    <x:xf numFmtId="0" fontId="7" fillId="7" borderId="17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0" xfId="0" applyNumberFormat="1" applyFont="1" applyFill="1" applyBorder="1" applyAlignment="1">
      <x:alignment vertical="center"/>
    </x:xf>
    <x:xf numFmtId="0" fontId="13" fillId="5" borderId="1" xfId="0" applyNumberFormat="1" applyFont="1" applyFill="1" applyBorder="1" applyAlignment="1">
      <x:alignment vertical="top"/>
    </x:xf>
    <x:xf numFmtId="0" fontId="14" fillId="0" borderId="1" xfId="0" applyNumberFormat="1" applyFont="1" applyFill="1" applyBorder="1" applyAlignment="1">
      <x:alignment vertical="top" wrapText="1"/>
    </x:xf>
    <x:xf numFmtId="0" fontId="13" fillId="5" borderId="2" xfId="0" applyNumberFormat="1" applyFont="1" applyFill="1" applyBorder="1" applyAlignment="1">
      <x:alignment vertical="top"/>
    </x:xf>
    <x:xf numFmtId="0" fontId="14" fillId="0" borderId="2" xfId="0" applyNumberFormat="1" applyFont="1" applyFill="1" applyBorder="1" applyAlignment="1">
      <x:alignment vertical="top" wrapText="1"/>
    </x:xf>
    <x:xf numFmtId="0" fontId="13" fillId="5" borderId="3" xfId="0" applyNumberFormat="1" applyFont="1" applyFill="1" applyBorder="1" applyAlignment="1">
      <x:alignment vertical="center"/>
    </x:xf>
    <x:xf numFmtId="0" fontId="13" fillId="5" borderId="4" xfId="0" applyNumberFormat="1" applyFont="1" applyFill="1" applyBorder="1" applyAlignment="1">
      <x:alignment vertical="center"/>
    </x:xf>
    <x:xf numFmtId="0" fontId="12" fillId="0" borderId="4" xfId="0" applyNumberFormat="1" applyFont="1" applyFill="1" applyBorder="1" applyAlignment="1">
      <x:alignment vertical="center" wrapText="1"/>
    </x:xf>
    <x:xf numFmtId="0" fontId="12" fillId="0" borderId="5" xfId="0" applyNumberFormat="1" applyFont="1" applyFill="1" applyBorder="1" applyAlignment="1">
      <x:alignment vertical="center" wrapText="1"/>
    </x:xf>
    <x:xf numFmtId="0" fontId="13" fillId="5" borderId="6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7" xfId="0" applyNumberFormat="1" applyFont="1" applyFill="1" applyBorder="1" applyAlignment="1">
      <x:alignment vertical="center" wrapText="1"/>
    </x:xf>
    <x:xf numFmtId="0" fontId="13" fillId="5" borderId="8" xfId="0" applyNumberFormat="1" applyFont="1" applyFill="1" applyBorder="1" applyAlignment="1">
      <x:alignment vertical="center"/>
    </x:xf>
    <x:xf numFmtId="0" fontId="13" fillId="5" borderId="1" xfId="0" applyNumberFormat="1" applyFont="1" applyFill="1" applyBorder="1" applyAlignment="1">
      <x:alignment vertical="center"/>
    </x:xf>
    <x:xf numFmtId="0" fontId="15" fillId="6" borderId="1" xfId="0" applyNumberFormat="1" applyFont="1" applyFill="1" applyBorder="1" applyAlignment="1">
      <x:alignment vertical="center" wrapText="1"/>
    </x:xf>
    <x:xf numFmtId="0" fontId="15" fillId="6" borderId="9" xfId="0" applyNumberFormat="1" applyFont="1" applyFill="1" applyBorder="1" applyAlignment="1">
      <x:alignment vertical="center" wrapText="1"/>
    </x:xf>
    <x:xf numFmtId="0" fontId="16" fillId="7" borderId="10" xfId="0" applyNumberFormat="1" applyFont="1" applyFill="1" applyBorder="1" applyAlignment="1">
      <x:alignment vertical="top" wrapText="1"/>
    </x:xf>
    <x:xf numFmtId="0" fontId="16" fillId="7" borderId="11" xfId="0" applyNumberFormat="1" applyFont="1" applyFill="1" applyBorder="1" applyAlignment="1">
      <x:alignment vertical="top" wrapText="1"/>
    </x:xf>
    <x:xf numFmtId="0" fontId="16" fillId="7" borderId="12" xfId="0" applyNumberFormat="1" applyFont="1" applyFill="1" applyBorder="1" applyAlignment="1">
      <x:alignment vertical="top" wrapText="1"/>
    </x:xf>
    <x:xf numFmtId="0" fontId="16" fillId="7" borderId="13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top" wrapText="1"/>
    </x:xf>
    <x:xf numFmtId="0" fontId="16" fillId="7" borderId="14" xfId="0" applyNumberFormat="1" applyFont="1" applyFill="1" applyBorder="1" applyAlignment="1">
      <x:alignment vertical="top" wrapText="1"/>
    </x:xf>
    <x:xf numFmtId="0" fontId="16" fillId="7" borderId="15" xfId="0" applyNumberFormat="1" applyFont="1" applyFill="1" applyBorder="1" applyAlignment="1">
      <x:alignment vertical="top" wrapText="1"/>
    </x:xf>
    <x:xf numFmtId="0" fontId="16" fillId="7" borderId="16" xfId="0" applyNumberFormat="1" applyFont="1" applyFill="1" applyBorder="1" applyAlignment="1">
      <x:alignment vertical="top" wrapText="1"/>
    </x:xf>
    <x:xf numFmtId="0" fontId="16" fillId="7" borderId="17" xfId="0" applyNumberFormat="1" applyFont="1" applyFill="1" applyBorder="1" applyAlignment="1">
      <x:alignment vertical="top" wrapText="1"/>
    </x:xf>
    <x:xf numFmtId="0" fontId="17" fillId="2" borderId="0" xfId="0" applyNumberFormat="1" applyFont="1" applyFill="1" applyBorder="1" applyAlignment="1">
      <x:alignment horizontal="center" vertical="center"/>
    </x:xf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wrapText="1"/>
    </x:xf>
    <x:xf numFmtId="0" fontId="18" fillId="2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0" fontId="19" fillId="0" borderId="0" xfId="0" applyNumberFormat="1" applyFont="1" applyFill="1" applyBorder="1" applyAlignment="1">
      <x:alignment vertical="top" wrapText="1"/>
    </x:xf>
    <x:xf numFmtId="0" fontId="18" fillId="2" borderId="1" xfId="0" applyNumberFormat="1" applyFont="1" applyFill="1" applyBorder="1" applyAlignment="1">
      <x:alignment vertical="center" wrapText="1"/>
    </x:xf>
    <x:xf numFmtId="0" fontId="19" fillId="0" borderId="2" xfId="0" applyNumberFormat="1" applyFont="1" applyFill="1" applyBorder="1" applyAlignment="1">
      <x:alignment vertical="top" wrapText="1"/>
    </x:xf>
    <x:xf numFmtId="0" fontId="19" fillId="3" borderId="2" xfId="0" applyNumberFormat="1" applyFont="1" applyFill="1" applyBorder="1" applyAlignment="1">
      <x:alignment vertical="top" wrapText="1"/>
    </x:xf>
    <x:xf numFmtId="0" fontId="20" fillId="3" borderId="2" xfId="0" applyNumberFormat="1" applyFont="1" applyFill="1" applyBorder="1" applyAlignment="1">
      <x:alignment vertical="top" wrapText="1"/>
    </x:xf>
    <x:xf numFmtId="0" fontId="20" fillId="3" borderId="2" xfId="0" applyNumberFormat="1" applyFont="1" applyFill="1" applyBorder="1" applyAlignment="1">
      <x:alignment horizontal="center" vertical="top" wrapText="1"/>
    </x:xf>
    <x:xf numFmtId="0" fontId="20" fillId="3" borderId="2" xfId="0" applyNumberFormat="1" applyFont="1" applyFill="1" applyBorder="1" applyAlignment="1">
      <x:alignment horizontal="center" vertical="center" wrapText="1"/>
    </x:xf>
    <x:xf numFmtId="0" fontId="21" fillId="0" borderId="2" xfId="0" applyNumberFormat="1" applyFont="1" applyFill="1" applyBorder="1" applyAlignment="1">
      <x:alignment vertical="top" wrapText="1"/>
    </x:xf>
    <x:xf numFmtId="0" fontId="21" fillId="0" borderId="2" xfId="0" applyNumberFormat="1" applyFont="1" applyFill="1" applyBorder="1" applyAlignment="1">
      <x:alignment horizontal="center" vertical="top" wrapText="1"/>
    </x:xf>
    <x:xf numFmtId="0" fontId="21" fillId="0" borderId="2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8" fillId="8" borderId="0" xfId="0" applyNumberFormat="1" applyFont="1" applyFill="1" applyBorder="1"/>
    <x:xf numFmtId="0" fontId="19" fillId="9" borderId="0" xfId="0" applyNumberFormat="1" applyFont="1" applyFill="1" applyBorder="1" applyAlignment="1">
      <x:alignment vertical="top" wrapText="1"/>
    </x:xf>
    <x:xf numFmtId="0" fontId="22" fillId="9" borderId="0" xfId="0" applyNumberFormat="1" applyFont="1" applyFill="1" applyBorder="1" applyAlignment="1">
      <x:alignment vertical="top" wrapText="1"/>
    </x:xf>
    <x:xf numFmtId="0" fontId="22" fillId="9" borderId="0" xfId="0" applyNumberFormat="1" applyFont="1" applyFill="1" applyBorder="1" applyAlignment="1">
      <x:alignment horizontal="center" vertical="top" wrapText="1"/>
    </x:xf>
    <x:xf numFmtId="0" fontId="22" fillId="9" borderId="0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horizontal="center" vertical="top" wrapText="1"/>
    </x:xf>
    <x:xf numFmtId="0" fontId="18" fillId="8" borderId="18" xfId="0" applyNumberFormat="1" applyFont="1" applyFill="1" applyBorder="1"/>
    <x:xf numFmtId="0" fontId="22" fillId="9" borderId="19" xfId="0" applyNumberFormat="1" applyFont="1" applyFill="1" applyBorder="1" applyAlignment="1">
      <x:alignment horizontal="center" vertical="center" wrapText="1"/>
    </x:xf>
    <x:xf numFmtId="0" fontId="19" fillId="0" borderId="19" xfId="0" applyNumberFormat="1" applyFont="1" applyFill="1" applyBorder="1" applyAlignment="1">
      <x:alignment vertical="top" wrapText="1"/>
    </x:xf>
    <x:xf numFmtId="0" fontId="21" fillId="0" borderId="19" xfId="0" applyNumberFormat="1" applyFont="1" applyFill="1" applyBorder="1" applyAlignment="1">
      <x:alignment horizontal="center" vertical="top" wrapText="1"/>
    </x:xf>
    <x:xf numFmtId="0" fontId="23" fillId="2" borderId="0" xfId="0" applyNumberFormat="1" applyFont="1" applyFill="1" applyBorder="1"/>
    <x:xf numFmtId="0" fontId="24" fillId="4" borderId="0" xfId="0" applyNumberFormat="1" applyFont="1" applyFill="1" applyBorder="1"/>
    <x:xf numFmtId="0" fontId="24" fillId="4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 applyAlignment="1">
      <x:alignment vertical="center"/>
    </x:xf>
    <x:xf numFmtId="0" fontId="23" fillId="2" borderId="1" xfId="0" applyNumberFormat="1" applyFont="1" applyFill="1" applyBorder="1"/>
    <x:xf numFmtId="0" fontId="24" fillId="4" borderId="2" xfId="0" applyNumberFormat="1" applyFont="1" applyFill="1" applyBorder="1" applyAlignment="1">
      <x:alignment vertical="center"/>
    </x:xf>
    <x:xf numFmtId="0" fontId="19" fillId="0" borderId="2" xfId="0" applyNumberFormat="1" applyFont="1" applyFill="1" applyBorder="1" applyAlignment="1">
      <x:alignment vertical="center"/>
    </x:xf>
    <x:xf numFmtId="200" fontId="19" fillId="0" borderId="2" xfId="0" applyNumberFormat="1" applyFont="1" applyFill="1" applyBorder="1" applyAlignment="1">
      <x:alignment vertical="center"/>
    </x:xf>
    <x:xf numFmtId="201" fontId="19" fillId="0" borderId="2" xfId="0" applyNumberFormat="1" applyFont="1" applyFill="1" applyBorder="1" applyAlignment="1">
      <x:alignment vertical="center"/>
    </x:xf>
    <x:xf numFmtId="202" fontId="19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D92D20"/>
      </x:font>
      <x:fill>
        <x:patternFill patternType="solid">
          <x:bgColor rgb="FFFFF1F0"/>
        </x:patternFill>
      </x:fill>
    </x:dxf>
    <x:dxf>
      <x:font>
        <x:b/>
        <x:color rgb="FF16835B"/>
      </x:font>
      <x:fill>
        <x:patternFill patternType="solid">
          <x:bgColor rgb="FFE9F8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a1e02dc5a4312" /><Relationship Type="http://schemas.openxmlformats.org/officeDocument/2006/relationships/theme" Target="/xl/theme/theme1.xml" Id="R1cc9d6730b834d66" /><Relationship Type="http://schemas.openxmlformats.org/officeDocument/2006/relationships/sharedStrings" Target="/xl/sharedStrings.xml" Id="R8aa3583be5ce47c4" /><Relationship Type="http://schemas.openxmlformats.org/officeDocument/2006/relationships/worksheet" Target="/xl/worksheets/sheet1.xml" Id="R06e51033342e4bdf" /><Relationship Type="http://schemas.openxmlformats.org/officeDocument/2006/relationships/worksheet" Target="/xl/worksheets/sheet2.xml" Id="Rf17e46aa5e0c4a9b" /><Relationship Type="http://schemas.openxmlformats.org/officeDocument/2006/relationships/worksheet" Target="/xl/worksheets/sheet3.xml" Id="R02c999b0418f4758" /><Relationship Type="http://schemas.openxmlformats.org/officeDocument/2006/relationships/worksheet" Target="/xl/worksheets/sheet4.xml" Id="Rdf61f0039eaa450b" /></Relationships>
</file>

<file path=xl/tables/table1.xml><?xml version="1.0" encoding="utf-8"?>
<x:table xmlns:x="http://schemas.openxmlformats.org/spreadsheetml/2006/main" id="1" name="AttributeTestingTable" displayName="AttributeTestingTable" ref="A5:I10" headerRowCount="1" totalsRowCount="0" totalsRowShown="0">
  <x:tableColumns count="9">
    <x:tableColumn id="1" name="Ref"/>
    <x:tableColumn id="2" name="Attribute"/>
    <x:tableColumn id="3" name="Criterion"/>
    <x:tableColumn id="4" name="Expected"/>
    <x:tableColumn id="5" name="Actual Evidence"/>
    <x:tableColumn id="6" name="Page"/>
    <x:tableColumn id="7" name="Evidence Inspected"/>
    <x:tableColumn id="8" name="Result"/>
    <x:tableColumn id="9" name="Reviewer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daf00208d84f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55" t="str">
        <x:v>Evidence Annotation Review Workbook</x:v>
      </x:c>
      <x:c r="B1" s="55"/>
      <x:c r="C1" s="55"/>
      <x:c r="D1" s="55"/>
      <x:c r="E1" s="55"/>
      <x:c r="F1" s="55"/>
      <x:c r="G1" s="55"/>
      <x:c r="H1" s="55"/>
    </x:row>
    <x:row r="2" ht="16" customHeight="1">
      <x:c r="A2" s="55"/>
      <x:c r="B2" s="55"/>
      <x:c r="C2" s="55"/>
      <x:c r="D2" s="55"/>
      <x:c r="E2" s="55"/>
      <x:c r="F2" s="55"/>
      <x:c r="G2" s="55"/>
      <x:c r="H2" s="55"/>
    </x:row>
    <x:row r="3" ht="28" customHeight="1">
      <x:c r="A3" s="56" t="str">
        <x:v>Synthetic vendor-payment demonstration | Fictional entities and transactions | Evidence Ref SYN-AP-001</x:v>
      </x:c>
      <x:c r="B3" s="56"/>
      <x:c r="C3" s="56"/>
      <x:c r="D3" s="56"/>
      <x:c r="E3" s="56"/>
      <x:c r="F3" s="56"/>
      <x:c r="G3" s="56"/>
      <x:c r="H3" s="56"/>
    </x:row>
    <x:row r="4">
      <x:c r="A4" s="57"/>
      <x:c r="B4" s="57"/>
      <x:c r="C4" s="57"/>
      <x:c r="D4" s="57"/>
      <x:c r="E4" s="57"/>
      <x:c r="F4" s="57"/>
      <x:c r="G4" s="57"/>
      <x:c r="H4" s="57"/>
    </x:row>
    <x:row r="5" ht="24" customHeight="1">
      <x:c r="A5" s="58" t="str">
        <x:v>Demonstration Overview</x:v>
      </x:c>
      <x:c r="B5" s="58" t="str">
        <x:v>Demonstration Overview</x:v>
      </x:c>
      <x:c r="C5" s="58" t="str">
        <x:v>Demonstration Overview</x:v>
      </x:c>
      <x:c r="D5" s="58" t="str">
        <x:v>Demonstration Overview</x:v>
      </x:c>
      <x:c r="E5" s="58" t="str">
        <x:v>Demonstration Overview</x:v>
      </x:c>
      <x:c r="F5" s="58" t="str">
        <x:v>Demonstration Overview</x:v>
      </x:c>
      <x:c r="G5" s="58" t="str">
        <x:v>Demonstration Overview</x:v>
      </x:c>
      <x:c r="H5" s="58" t="str">
        <x:v>Demonstration Overview</x:v>
      </x:c>
    </x:row>
    <x:row r="6" ht="15" hidden="0" customHeight="1">
      <x:c r="A6" s="59" t="str">
        <x:v>Evidence Reference</x:v>
      </x:c>
      <x:c r="B6" s="60" t="str">
        <x:v>SYN-AP-001</x:v>
      </x:c>
      <x:c r="C6" s="57"/>
      <x:c r="D6" s="58" t="str">
        <x:v>Review Result</x:v>
      </x:c>
      <x:c r="E6" s="58" t="str">
        <x:v>Review Result</x:v>
      </x:c>
      <x:c r="F6" s="58" t="str">
        <x:v>Review Result</x:v>
      </x:c>
      <x:c r="G6" s="58" t="str">
        <x:v>Review Result</x:v>
      </x:c>
      <x:c r="H6" s="58" t="str">
        <x:v>Review Result</x:v>
      </x:c>
    </x:row>
    <x:row r="7" ht="15" hidden="0" customHeight="1">
      <x:c r="A7" s="61" t="str">
        <x:v>Artifact</x:v>
      </x:c>
      <x:c r="B7" s="62" t="str">
        <x:v>Synthetic vendor-payment evidence</x:v>
      </x:c>
      <x:c r="C7" s="57"/>
      <x:c r="D7" s="63" t="str">
        <x:v>Attributes Tested</x:v>
      </x:c>
      <x:c r="E7" s="64"/>
      <x:c r="F7" s="65" t="n">
        <x:f>COUNTA('Attribute Testing'!$A$6:$A$10)</x:f>
        <x:v>5</x:v>
      </x:c>
      <x:c r="G7" s="65"/>
      <x:c r="H7" s="66"/>
    </x:row>
    <x:row r="8" ht="26.399999618530273" hidden="0" customHeight="1">
      <x:c r="A8" s="61" t="str">
        <x:v>Purpose</x:v>
      </x:c>
      <x:c r="B8" s="62" t="str">
        <x:v>Demonstrate source-disciplined evidence annotation and reviewer navigation</x:v>
      </x:c>
      <x:c r="C8" s="57"/>
      <x:c r="D8" s="67" t="str">
        <x:v>Attributes Passed</x:v>
      </x:c>
      <x:c r="E8" s="68"/>
      <x:c r="F8" s="69" t="n">
        <x:f>COUNTIF('Attribute Testing'!$H$6:$H$10,"Pass")</x:f>
        <x:v>5</x:v>
      </x:c>
      <x:c r="G8" s="69"/>
      <x:c r="H8" s="70"/>
    </x:row>
    <x:row r="9" ht="15" hidden="0" customHeight="1">
      <x:c r="A9" s="61" t="str">
        <x:v>Source PDF</x:v>
      </x:c>
      <x:c r="B9" s="62" t="str">
        <x:v>Synthetic_Vendor_Payment_Evidence.pdf</x:v>
      </x:c>
      <x:c r="C9" s="57"/>
      <x:c r="D9" s="67" t="str">
        <x:v>Exceptions</x:v>
      </x:c>
      <x:c r="E9" s="68"/>
      <x:c r="F9" s="69" t="n">
        <x:f>COUNTIF('Attribute Testing'!$H$6:$H$10,"Exception")</x:f>
        <x:v>0</x:v>
      </x:c>
      <x:c r="G9" s="69"/>
      <x:c r="H9" s="70"/>
    </x:row>
    <x:row r="10" ht="15" hidden="0" customHeight="1">
      <x:c r="A10" s="61" t="str">
        <x:v>Annotated PDF</x:v>
      </x:c>
      <x:c r="B10" s="62" t="str">
        <x:v>Annotated_Vendor_Payment_Evidence.pdf</x:v>
      </x:c>
      <x:c r="C10" s="57"/>
      <x:c r="D10" s="71" t="str">
        <x:v>Conclusion</x:v>
      </x:c>
      <x:c r="E10" s="72"/>
      <x:c r="F10" s="73" t="str">
        <x:f>IF(F9=0,"No exception identified in the synthetic transaction.","Exception identified - review attribute testing.")</x:f>
        <x:v>No exception identified in the synthetic transaction.</x:v>
      </x:c>
      <x:c r="G10" s="73"/>
      <x:c r="H10" s="74"/>
    </x:row>
    <x:row r="11" ht="26.399999618530273" hidden="0" customHeight="1">
      <x:c r="A11" s="61" t="str">
        <x:v>Data Classification</x:v>
      </x:c>
      <x:c r="B11" s="62" t="str">
        <x:v>Synthetic demonstration data - no client information</x:v>
      </x:c>
      <x:c r="C11" s="57"/>
      <x:c r="D11" s="57"/>
      <x:c r="E11" s="57"/>
      <x:c r="F11" s="57"/>
      <x:c r="G11" s="57"/>
      <x:c r="H11" s="57"/>
    </x:row>
    <x:row r="12" ht="15" hidden="0" customHeight="1">
      <x:c r="A12" s="61" t="str">
        <x:v>Workflow Status</x:v>
      </x:c>
      <x:c r="B12" s="62" t="str">
        <x:v>Demonstrated portfolio workflow</x:v>
      </x:c>
      <x:c r="C12" s="57"/>
      <x:c r="D12" s="57"/>
      <x:c r="E12" s="57"/>
      <x:c r="F12" s="57"/>
      <x:c r="G12" s="57"/>
      <x:c r="H12" s="57"/>
    </x:row>
    <x:row r="13" ht="15" hidden="0" customHeight="1">
      <x:c r="A13" s="57"/>
      <x:c r="B13" s="57"/>
      <x:c r="C13" s="57"/>
      <x:c r="D13" s="57"/>
      <x:c r="E13" s="57"/>
      <x:c r="F13" s="57"/>
      <x:c r="G13" s="57"/>
      <x:c r="H13" s="57"/>
    </x:row>
    <x:row r="14" ht="15" hidden="0" customHeight="1">
      <x:c r="A14" s="58" t="str">
        <x:v>Reviewer Notes</x:v>
      </x:c>
      <x:c r="B14" s="58" t="str">
        <x:v>Reviewer Notes</x:v>
      </x:c>
      <x:c r="C14" s="58" t="str">
        <x:v>Reviewer Notes</x:v>
      </x:c>
      <x:c r="D14" s="58" t="str">
        <x:v>Reviewer Notes</x:v>
      </x:c>
      <x:c r="E14" s="58" t="str">
        <x:v>Reviewer Notes</x:v>
      </x:c>
      <x:c r="F14" s="58" t="str">
        <x:v>Reviewer Notes</x:v>
      </x:c>
      <x:c r="G14" s="58" t="str">
        <x:v>Reviewer Notes</x:v>
      </x:c>
      <x:c r="H14" s="58" t="str">
        <x:v>Reviewer Notes</x:v>
      </x:c>
    </x:row>
    <x:row r="15">
      <x:c r="A15" s="75" t="str">
        <x:v>The source and annotated PDFs are separate files. The annotated derivative contains visible, flattened annotations and a complete tickmark legend. The original source evidence remains unchanged. This demonstration does not evaluate a real transaction or represent production deployment.</x:v>
      </x:c>
      <x:c r="B15" s="76"/>
      <x:c r="C15" s="76"/>
      <x:c r="D15" s="76"/>
      <x:c r="E15" s="76"/>
      <x:c r="F15" s="76"/>
      <x:c r="G15" s="76"/>
      <x:c r="H15" s="77"/>
    </x:row>
    <x:row r="16">
      <x:c r="A16" s="78"/>
      <x:c r="B16" s="79"/>
      <x:c r="C16" s="79"/>
      <x:c r="D16" s="79"/>
      <x:c r="E16" s="79"/>
      <x:c r="F16" s="79"/>
      <x:c r="G16" s="79"/>
      <x:c r="H16" s="80"/>
    </x:row>
    <x:row r="17">
      <x:c r="A17" s="81"/>
      <x:c r="B17" s="82"/>
      <x:c r="C17" s="82"/>
      <x:c r="D17" s="82"/>
      <x:c r="E17" s="82"/>
      <x:c r="F17" s="82"/>
      <x:c r="G17" s="82"/>
      <x:c r="H17" s="83"/>
    </x:row>
    <x:row r="18">
      <x:c r="A18" s="57"/>
      <x:c r="B18" s="57"/>
      <x:c r="C18" s="57"/>
      <x:c r="D18" s="57"/>
      <x:c r="E18" s="57"/>
      <x:c r="F18" s="57"/>
      <x:c r="G18" s="57"/>
      <x:c r="H18" s="57"/>
    </x:row>
    <x:row r="19">
      <x:c r="A19" s="84" t="str">
        <x:v>SYNTHETIC DEMONSTRATION - FICTIONAL ENTITIES AND TRANSACTIONS</x:v>
      </x:c>
      <x:c r="B19" s="84"/>
      <x:c r="C19" s="84"/>
      <x:c r="D19" s="84"/>
      <x:c r="E19" s="84"/>
      <x:c r="F19" s="84"/>
      <x:c r="G19" s="84"/>
      <x:c r="H19" s="84"/>
    </x:row>
  </x:sheetData>
  <x:mergeCells>
    <x:mergeCell ref="A1:H2"/>
    <x:mergeCell ref="A3:H3"/>
    <x:mergeCell ref="A5:H5"/>
    <x:mergeCell ref="D6:H6"/>
    <x:mergeCell ref="F7:H7"/>
    <x:mergeCell ref="F8:H8"/>
    <x:mergeCell ref="F9:H9"/>
    <x:mergeCell ref="F10:H10"/>
    <x:mergeCell ref="A14:H14"/>
    <x:mergeCell ref="A15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34" hidden="0" customWidth="1"/>
    <x:col min="4" max="4" width="30" hidden="0" customWidth="1"/>
    <x:col min="5" max="5" width="42" hidden="0" customWidth="1"/>
    <x:col min="6" max="6" width="8" hidden="0" customWidth="1"/>
    <x:col min="7" max="7" width="27" hidden="0" customWidth="1"/>
    <x:col min="8" max="8" width="12" hidden="0" customWidth="1"/>
    <x:col min="9" max="9" width="28" hidden="0" customWidth="1"/>
  </x:cols>
  <x:sheetData>
    <x:row r="1" ht="30" customHeight="1">
      <x:c r="A1" s="4" t="str">
        <x:v>Attribute Testing</x:v>
      </x:c>
      <x:c r="B1" s="4"/>
      <x:c r="C1" s="4"/>
      <x:c r="D1" s="4"/>
      <x:c r="E1" s="4"/>
      <x:c r="F1" s="4"/>
      <x:c r="G1" s="4"/>
      <x:c r="H1" s="4"/>
      <x:c r="I1" s="4"/>
    </x:row>
    <x:row r="2" ht="16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8" customHeight="1">
      <x:c r="A3" s="8" t="str">
        <x:v>Formula-driven reconciliation of the evidence shown in the synthetic source and annotated derivative PDFs</x:v>
      </x:c>
      <x:c r="B3" s="8"/>
      <x:c r="C3" s="8"/>
      <x:c r="D3" s="8"/>
      <x:c r="E3" s="8"/>
      <x:c r="F3" s="8"/>
      <x:c r="G3" s="8"/>
      <x:c r="H3" s="8"/>
      <x:c r="I3" s="8"/>
    </x:row>
    <x:row r="5" ht="15" hidden="0" customHeight="1">
      <x:c r="A5" s="91" t="str">
        <x:v>Ref</x:v>
      </x:c>
      <x:c r="B5" s="91" t="str">
        <x:v>Attribute</x:v>
      </x:c>
      <x:c r="C5" s="91" t="str">
        <x:v>Criterion</x:v>
      </x:c>
      <x:c r="D5" s="91" t="str">
        <x:v>Expected</x:v>
      </x:c>
      <x:c r="E5" s="91" t="str">
        <x:v>Actual Evidence</x:v>
      </x:c>
      <x:c r="F5" s="91" t="str">
        <x:v>Page</x:v>
      </x:c>
      <x:c r="G5" s="91" t="str">
        <x:v>Evidence Inspected</x:v>
      </x:c>
      <x:c r="H5" s="91" t="str">
        <x:v>Result</x:v>
      </x:c>
      <x:c r="I5" s="91" t="str">
        <x:v>Reviewer Note</x:v>
      </x:c>
    </x:row>
    <x:row r="6" ht="21.600000381469727" hidden="0" customHeight="1">
      <x:c r="A6" s="96" t="str">
        <x:v>A</x:v>
      </x:c>
      <x:c r="B6" s="92" t="str">
        <x:v>Invoice details</x:v>
      </x:c>
      <x:c r="C6" s="92" t="str">
        <x:v>Required invoice fields are present and internally consistent.</x:v>
      </x:c>
      <x:c r="D6" s="92" t="str">
        <x:v>Vendor, invoice number, date, PO, and total identified.</x:v>
      </x:c>
      <x:c r="E6" s="92" t="str">
        <x:v>Northstar Facility Supply | NFS-10487 | Jun 12, 2026 | PO-78214 | $18,450</x:v>
      </x:c>
      <x:c r="F6" s="92" t="n">
        <x:v>1</x:v>
      </x:c>
      <x:c r="G6" s="92" t="str">
        <x:v>Vendor Invoice</x:v>
      </x:c>
      <x:c r="H6" s="99" t="str">
        <x:f>IF(COUNTA('Source Data'!$B$7:$B$11)=5,"Pass","Exception")</x:f>
        <x:v>Pass</x:v>
      </x:c>
      <x:c r="I6" s="92" t="str">
        <x:v>Key invoice fields identified for testing.</x:v>
      </x:c>
    </x:row>
    <x:row r="7" ht="15" hidden="0" customHeight="1">
      <x:c r="A7" s="96" t="str">
        <x:v>B</x:v>
      </x:c>
      <x:c r="B7" s="92" t="str">
        <x:v>Invoice-to-PO match</x:v>
      </x:c>
      <x:c r="C7" s="92" t="str">
        <x:v>Vendor, PO reference, and total agree.</x:v>
      </x:c>
      <x:c r="D7" s="92" t="str">
        <x:v>Invoice agrees to approved purchase order.</x:v>
      </x:c>
      <x:c r="E7" s="92" t="str">
        <x:v>Vendor, PO-78214, and $18,450 agree.</x:v>
      </x:c>
      <x:c r="F7" s="92" t="n">
        <x:v>2</x:v>
      </x:c>
      <x:c r="G7" s="92" t="str">
        <x:v>Purchase Order</x:v>
      </x:c>
      <x:c r="H7" s="99" t="str">
        <x:f>IF(AND('Source Data'!$B$7='Source Data'!$B$14,'Source Data'!$B$10='Source Data'!$B$15,'Source Data'!$B$11='Source Data'!$B$17),"Pass","Exception")</x:f>
        <x:v>Pass</x:v>
      </x:c>
      <x:c r="I7" s="92" t="str">
        <x:v>No mismatch identified.</x:v>
      </x:c>
    </x:row>
    <x:row r="8" ht="21.600000381469727" hidden="0" customHeight="1">
      <x:c r="A8" s="96" t="str">
        <x:v>C</x:v>
      </x:c>
      <x:c r="B8" s="92" t="str">
        <x:v>Prior PO approval</x:v>
      </x:c>
      <x:c r="C8" s="92" t="str">
        <x:v>Purchases over $10,000 require approved PO before processing.</x:v>
      </x:c>
      <x:c r="D8" s="92" t="str">
        <x:v>Approval precedes invoice date.</x:v>
      </x:c>
      <x:c r="E8" s="92" t="str">
        <x:v>Approved Jun 10, 2026; invoice dated Jun 12, 2026.</x:v>
      </x:c>
      <x:c r="F8" s="92" t="n">
        <x:v>2</x:v>
      </x:c>
      <x:c r="G8" s="92" t="str">
        <x:v>Approval History + Policy AP-04</x:v>
      </x:c>
      <x:c r="H8" s="99" t="str">
        <x:f>IF(AND('Source Data'!$B$11&gt;'Source Data'!$B$27,'Source Data'!$B$16&lt;'Source Data'!$B$9),"Pass","Exception")</x:f>
        <x:v>Pass</x:v>
      </x:c>
      <x:c r="I8" s="92" t="str">
        <x:v>Threshold exceeded; approval was timely.</x:v>
      </x:c>
    </x:row>
    <x:row r="9" ht="21.600000381469727" hidden="0" customHeight="1">
      <x:c r="A9" s="96" t="str">
        <x:v>D</x:v>
      </x:c>
      <x:c r="B9" s="92" t="str">
        <x:v>Prior batch approval</x:v>
      </x:c>
      <x:c r="C9" s="92" t="str">
        <x:v>Payments over $10,000 require AP Manager approval before release.</x:v>
      </x:c>
      <x:c r="D9" s="92" t="str">
        <x:v>AP Manager approval precedes payment.</x:v>
      </x:c>
      <x:c r="E9" s="92" t="str">
        <x:v>Approved Jun 18, 2026; paid Jun 19, 2026.</x:v>
      </x:c>
      <x:c r="F9" s="92" t="n">
        <x:v>3</x:v>
      </x:c>
      <x:c r="G9" s="92" t="str">
        <x:v>Payment Record + Policy AP-04</x:v>
      </x:c>
      <x:c r="H9" s="99" t="str">
        <x:f>IF(AND('Source Data'!$B$24&gt;'Source Data'!$B$27,'Source Data'!$B$23&lt;'Source Data'!$B$22),"Pass","Exception")</x:f>
        <x:v>Pass</x:v>
      </x:c>
      <x:c r="I9" s="92" t="str">
        <x:v>Threshold exceeded; approval was timely.</x:v>
      </x:c>
    </x:row>
    <x:row r="10" ht="15" hidden="0" customHeight="1">
      <x:c r="A10" s="96" t="str">
        <x:v>E</x:v>
      </x:c>
      <x:c r="B10" s="92" t="str">
        <x:v>Payment match</x:v>
      </x:c>
      <x:c r="C10" s="92" t="str">
        <x:v>Vendor, invoice reference, and amount agree.</x:v>
      </x:c>
      <x:c r="D10" s="92" t="str">
        <x:v>Payment agrees to approved invoice.</x:v>
      </x:c>
      <x:c r="E10" s="92" t="str">
        <x:v>Northstar Facility Supply | NFS-10487 | $18,450</x:v>
      </x:c>
      <x:c r="F10" s="92" t="n">
        <x:v>3</x:v>
      </x:c>
      <x:c r="G10" s="92" t="str">
        <x:v>Payment Detail</x:v>
      </x:c>
      <x:c r="H10" s="99" t="str">
        <x:f>IF(AND('Source Data'!$B$7='Source Data'!$B$20,'Source Data'!$B$8='Source Data'!$B$21,'Source Data'!$B$11='Source Data'!$B$24),"Pass","Exception")</x:f>
        <x:v>Pass</x:v>
      </x:c>
      <x:c r="I10" s="92" t="str">
        <x:v>No mismatch identified.</x:v>
      </x:c>
    </x:row>
  </x:sheetData>
  <x:mergeCells>
    <x:mergeCell ref="A1:I2"/>
    <x:mergeCell ref="A3:I3"/>
  </x:mergeCells>
  <x:conditionalFormatting sqref="H6:H10">
    <x:cfRule type="containsText" dxfId="0" priority="1" operator="containsText" text="Exception"/>
    <x:cfRule type="containsText" dxfId="1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8ddaf00208d84f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0" hidden="0" customWidth="1"/>
    <x:col min="3" max="3" width="13" hidden="0" customWidth="1"/>
    <x:col min="4" max="4" width="15" hidden="0" customWidth="1"/>
  </x:cols>
  <x:sheetData>
    <x:row r="1" ht="30" customHeight="1">
      <x:c r="A1" s="4" t="str">
        <x:v>Tickmark Legend</x:v>
      </x:c>
      <x:c r="B1" s="4"/>
      <x:c r="C1" s="4"/>
      <x:c r="D1" s="4"/>
    </x:row>
    <x:row r="2" ht="16" customHeight="1">
      <x:c r="A2" s="4"/>
      <x:c r="B2" s="4"/>
      <x:c r="C2" s="4"/>
      <x:c r="D2" s="4"/>
    </x:row>
    <x:row r="3" ht="28" customHeight="1">
      <x:c r="A3" s="8" t="str">
        <x:v>Definitions used in Annotated_Vendor_Payment_Evidence.pdf</x:v>
      </x:c>
      <x:c r="B3" s="8"/>
      <x:c r="C3" s="8"/>
      <x:c r="D3" s="8"/>
    </x:row>
    <x:row r="5" ht="15" hidden="0" customHeight="1">
      <x:c r="A5" s="108" t="str">
        <x:v>Ref</x:v>
      </x:c>
      <x:c r="B5" s="108" t="str">
        <x:v>Meaning</x:v>
      </x:c>
      <x:c r="C5" s="108" t="str">
        <x:v>Result</x:v>
      </x:c>
      <x:c r="D5" s="108" t="str">
        <x:v>Evidence Page</x:v>
      </x:c>
    </x:row>
    <x:row r="6" ht="15" hidden="0" customHeight="1">
      <x:c r="A6" s="109" t="str">
        <x:v>A</x:v>
      </x:c>
      <x:c r="B6" s="110" t="str">
        <x:v>Invoice number, vendor, date, and total agree to the tested transaction.</x:v>
      </x:c>
      <x:c r="C6" s="111" t="str">
        <x:v>Pass</x:v>
      </x:c>
      <x:c r="D6" s="110" t="n">
        <x:v>1</x:v>
      </x:c>
    </x:row>
    <x:row r="7" ht="15" hidden="0" customHeight="1">
      <x:c r="A7" s="109" t="str">
        <x:v>B</x:v>
      </x:c>
      <x:c r="B7" s="110" t="str">
        <x:v>Invoice references an approved PO with a matching vendor and amount.</x:v>
      </x:c>
      <x:c r="C7" s="111" t="str">
        <x:v>Pass</x:v>
      </x:c>
      <x:c r="D7" s="110" t="n">
        <x:v>1</x:v>
      </x:c>
    </x:row>
    <x:row r="8" ht="15" hidden="0" customHeight="1">
      <x:c r="A8" s="109" t="str">
        <x:v>C</x:v>
      </x:c>
      <x:c r="B8" s="110" t="str">
        <x:v>Purchase order approval occurred before the invoice and payment.</x:v>
      </x:c>
      <x:c r="C8" s="111" t="str">
        <x:v>Pass</x:v>
      </x:c>
      <x:c r="D8" s="110" t="n">
        <x:v>2</x:v>
      </x:c>
    </x:row>
    <x:row r="9" ht="15" hidden="0" customHeight="1">
      <x:c r="A9" s="109" t="str">
        <x:v>D</x:v>
      </x:c>
      <x:c r="B9" s="110" t="str">
        <x:v>AP Manager batch approval occurred before payment release.</x:v>
      </x:c>
      <x:c r="C9" s="111" t="str">
        <x:v>Pass</x:v>
      </x:c>
      <x:c r="D9" s="110" t="n">
        <x:v>3</x:v>
      </x:c>
    </x:row>
    <x:row r="10" ht="15" hidden="0" customHeight="1">
      <x:c r="A10" s="109" t="str">
        <x:v>E</x:v>
      </x:c>
      <x:c r="B10" s="110" t="str">
        <x:v>Payment amount and invoice reference agree to the approved invoice.</x:v>
      </x:c>
      <x:c r="C10" s="111" t="str">
        <x:v>Pass</x:v>
      </x:c>
      <x:c r="D10" s="110" t="n">
        <x:v>3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</x:cols>
  <x:sheetData>
    <x:row r="1" ht="30" customHeight="1">
      <x:c r="A1" s="4" t="str">
        <x:v>Source Data</x:v>
      </x:c>
      <x:c r="B1" s="4"/>
      <x:c r="C1" s="4"/>
      <x:c r="D1" s="4"/>
    </x:row>
    <x:row r="2" ht="16" customHeight="1">
      <x:c r="A2" s="4"/>
      <x:c r="B2" s="4"/>
      <x:c r="C2" s="4"/>
      <x:c r="D2" s="4"/>
    </x:row>
    <x:row r="3" ht="28" customHeight="1">
      <x:c r="A3" s="8" t="str">
        <x:v>Typed values transcribed from the fictional evidence for formula-driven attribute testing</x:v>
      </x:c>
      <x:c r="B3" s="8"/>
      <x:c r="C3" s="8"/>
      <x:c r="D3" s="8"/>
    </x:row>
    <x:row r="5" ht="15" hidden="0" customHeight="1">
      <x:c r="A5" s="116" t="str">
        <x:v>Field</x:v>
      </x:c>
      <x:c r="B5" s="116" t="str">
        <x:v>Value</x:v>
      </x:c>
    </x:row>
    <x:row r="6" ht="15" hidden="0" customHeight="1">
      <x:c r="A6" s="117" t="str">
        <x:v>Invoice</x:v>
      </x:c>
      <x:c r="B6" s="117"/>
    </x:row>
    <x:row r="7" ht="15" hidden="0" customHeight="1">
      <x:c r="A7" s="118" t="str">
        <x:v>Invoice Vendor</x:v>
      </x:c>
      <x:c r="B7" s="118" t="str">
        <x:v>Northstar Facility Supply</x:v>
      </x:c>
    </x:row>
    <x:row r="8" ht="15" hidden="0" customHeight="1">
      <x:c r="A8" s="118" t="str">
        <x:v>Invoice Number</x:v>
      </x:c>
      <x:c r="B8" s="118" t="str">
        <x:v>NFS-10487</x:v>
      </x:c>
    </x:row>
    <x:row r="9" ht="15" hidden="0" customHeight="1">
      <x:c r="A9" s="118" t="str">
        <x:v>Invoice Date</x:v>
      </x:c>
      <x:c r="B9" s="119" t="n">
        <x:v>46185.5</x:v>
      </x:c>
    </x:row>
    <x:row r="10" ht="15" hidden="0" customHeight="1">
      <x:c r="A10" s="118" t="str">
        <x:v>Invoice PO</x:v>
      </x:c>
      <x:c r="B10" s="118" t="str">
        <x:v>PO-78214</x:v>
      </x:c>
    </x:row>
    <x:row r="11" ht="15" hidden="0" customHeight="1">
      <x:c r="A11" s="118" t="str">
        <x:v>Invoice Amount</x:v>
      </x:c>
      <x:c r="B11" s="121" t="n">
        <x:v>18450</x:v>
      </x:c>
    </x:row>
    <x:row r="12" ht="15" hidden="0" customHeight="1">
      <x:c r="A12" s="118" t="str"/>
      <x:c r="B12" s="118" t="str"/>
    </x:row>
    <x:row r="13" ht="15" hidden="0" customHeight="1">
      <x:c r="A13" s="117" t="str">
        <x:v>Purchase Order</x:v>
      </x:c>
      <x:c r="B13" s="117"/>
    </x:row>
    <x:row r="14" ht="15" hidden="0" customHeight="1">
      <x:c r="A14" s="118" t="str">
        <x:v>PO Vendor</x:v>
      </x:c>
      <x:c r="B14" s="118" t="str">
        <x:v>Northstar Facility Supply</x:v>
      </x:c>
    </x:row>
    <x:row r="15" ht="15" hidden="0" customHeight="1">
      <x:c r="A15" s="118" t="str">
        <x:v>PO Number</x:v>
      </x:c>
      <x:c r="B15" s="118" t="str">
        <x:v>PO-78214</x:v>
      </x:c>
    </x:row>
    <x:row r="16" ht="15" hidden="0" customHeight="1">
      <x:c r="A16" s="118" t="str">
        <x:v>PO Approval Date</x:v>
      </x:c>
      <x:c r="B16" s="120" t="n">
        <x:v>46183.59861111111</x:v>
      </x:c>
    </x:row>
    <x:row r="17" ht="15" hidden="0" customHeight="1">
      <x:c r="A17" s="118" t="str">
        <x:v>PO Amount</x:v>
      </x:c>
      <x:c r="B17" s="121" t="n">
        <x:v>18450</x:v>
      </x:c>
    </x:row>
    <x:row r="18" ht="15" hidden="0" customHeight="1">
      <x:c r="A18" s="118" t="str"/>
      <x:c r="B18" s="118" t="str"/>
    </x:row>
    <x:row r="19" ht="15" hidden="0" customHeight="1">
      <x:c r="A19" s="117" t="str">
        <x:v>Payment</x:v>
      </x:c>
      <x:c r="B19" s="117"/>
    </x:row>
    <x:row r="20" ht="15" hidden="0" customHeight="1">
      <x:c r="A20" s="118" t="str">
        <x:v>Payment Vendor</x:v>
      </x:c>
      <x:c r="B20" s="118" t="str">
        <x:v>Northstar Facility Supply</x:v>
      </x:c>
    </x:row>
    <x:row r="21" ht="15" hidden="0" customHeight="1">
      <x:c r="A21" s="118" t="str">
        <x:v>Payment Invoice</x:v>
      </x:c>
      <x:c r="B21" s="118" t="str">
        <x:v>NFS-10487</x:v>
      </x:c>
    </x:row>
    <x:row r="22" ht="15" hidden="0" customHeight="1">
      <x:c r="A22" s="118" t="str">
        <x:v>Payment Date</x:v>
      </x:c>
      <x:c r="B22" s="120" t="n">
        <x:v>46192.336805555555</x:v>
      </x:c>
    </x:row>
    <x:row r="23" ht="15" hidden="0" customHeight="1">
      <x:c r="A23" s="118" t="str">
        <x:v>AP Manager Approval</x:v>
      </x:c>
      <x:c r="B23" s="120" t="n">
        <x:v>46191.38611111111</x:v>
      </x:c>
    </x:row>
    <x:row r="24" ht="15" hidden="0" customHeight="1">
      <x:c r="A24" s="118" t="str">
        <x:v>Payment Amount</x:v>
      </x:c>
      <x:c r="B24" s="121" t="n">
        <x:v>18450</x:v>
      </x:c>
    </x:row>
    <x:row r="25" ht="15" hidden="0" customHeight="1">
      <x:c r="A25" s="118" t="str"/>
      <x:c r="B25" s="118" t="str"/>
    </x:row>
    <x:row r="26" ht="15" hidden="0" customHeight="1">
      <x:c r="A26" s="117" t="str">
        <x:v>Policy</x:v>
      </x:c>
      <x:c r="B26" s="117"/>
    </x:row>
    <x:row r="27" ht="15" hidden="0" customHeight="1">
      <x:c r="A27" s="118" t="str">
        <x:v>Threshold</x:v>
      </x:c>
      <x:c r="B27" s="121" t="n">
        <x:v>10000</x:v>
      </x:c>
    </x:row>
  </x:sheetData>
  <x:mergeCells>
    <x:mergeCell ref="A1:D2"/>
    <x:mergeCell ref="A3:D3"/>
    <x:mergeCell ref="A6:B6"/>
    <x:mergeCell ref="A13:B13"/>
    <x:mergeCell ref="A19:B19"/>
    <x:mergeCell ref="A26:B26"/>
  </x:mergeCells>
  <x:pageMargins left="0.7" right="0.7" top="0.75" bottom="0.75" header="0.3" footer="0.3"/>
</x:worksheet>
</file>